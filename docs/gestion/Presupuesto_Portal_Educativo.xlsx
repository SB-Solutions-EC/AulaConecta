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27D9006B-F2A6-9C4F-9D9C-BB8E71A3154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sumen" sheetId="1" r:id="rId1"/>
    <sheet name="Presupuesto Detallado" sheetId="2" r:id="rId2"/>
    <sheet name="Alcance y Exclusiones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2" l="1"/>
  <c r="D13" i="1"/>
  <c r="F23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/>
  <c r="E14" i="2"/>
  <c r="F14" i="2"/>
  <c r="E13" i="2"/>
  <c r="F13" i="2"/>
  <c r="E12" i="2"/>
  <c r="F12" i="2"/>
  <c r="E11" i="2"/>
  <c r="F11" i="2"/>
  <c r="E10" i="2"/>
  <c r="F10" i="2"/>
  <c r="E9" i="2"/>
  <c r="F9" i="2"/>
  <c r="E8" i="2"/>
  <c r="F8" i="2"/>
  <c r="E7" i="2"/>
  <c r="F7" i="2"/>
  <c r="F24" i="2"/>
  <c r="F33" i="2"/>
  <c r="D12" i="1"/>
  <c r="F34" i="2"/>
  <c r="D14" i="1"/>
  <c r="F35" i="2"/>
  <c r="D15" i="1"/>
</calcChain>
</file>

<file path=xl/sharedStrings.xml><?xml version="1.0" encoding="utf-8"?>
<sst xmlns="http://schemas.openxmlformats.org/spreadsheetml/2006/main" count="122" uniqueCount="107">
  <si>
    <t>PROPUESTA DE PRESUPUESTO</t>
  </si>
  <si>
    <t>Desarrollo de Portal Educativo a Medida (Sistema de Gestion Academica)</t>
  </si>
  <si>
    <t>Cliente / Institucion:</t>
  </si>
  <si>
    <t>[Nombre de la Unidad Educativa]</t>
  </si>
  <si>
    <t>Preparado por:</t>
  </si>
  <si>
    <t>[Tu nombre / Empresa]</t>
  </si>
  <si>
    <t>Fecha de propuesta:</t>
  </si>
  <si>
    <t>08/07/2026</t>
  </si>
  <si>
    <t>Validez de la propuesta:</t>
  </si>
  <si>
    <t>30 dias</t>
  </si>
  <si>
    <t>Modalidad de pago sugerida:</t>
  </si>
  <si>
    <t>50% anticipo / 50% contra entrega</t>
  </si>
  <si>
    <t>RESUMEN DEL PRESUPUESTO</t>
  </si>
  <si>
    <t>Subtotal desarrollo (horas x tarifa):</t>
  </si>
  <si>
    <t>Contingencia / imprevistos:</t>
  </si>
  <si>
    <t>TOTAL DEL PROYECTO (USD):</t>
  </si>
  <si>
    <t>Nota: el hosting, dominio y SSL cotizados corresponden al primer ano; la renovacion anual posterior corre por cuenta del cliente (ver hoja de detalle).</t>
  </si>
  <si>
    <t>ROLES CONTEMPLADOS EN EL SISTEMA</t>
  </si>
  <si>
    <t>- Administrador: gestiona cursos, profesores, materias y usuarios.</t>
  </si>
  <si>
    <t>- Secretario / Operario: matricula estudiantes (via importacion de Excel) y gestiona datos basicos.</t>
  </si>
  <si>
    <t>- Docente: planifica materias, crea deberes/pruebas, asienta notas, sube recursos, envia mensajes.</t>
  </si>
  <si>
    <t>- Estudiante: consulta notas, asistencia, horario, actividades, mensajes; exporta reportes.</t>
  </si>
  <si>
    <t>Nota: ver hoja 'Alcance y Exclusiones' para funcionalidades NO contempladas en este presupuesto.</t>
  </si>
  <si>
    <t>DESGLOSE DE PRESUPUESTO POR MODULO</t>
  </si>
  <si>
    <t>Tarifa por hora (USD):</t>
  </si>
  <si>
    <t>&lt;- celda editable: ajusta la tarifa para recalcular el total</t>
  </si>
  <si>
    <t>Modulo / Fase</t>
  </si>
  <si>
    <t>Descripcion</t>
  </si>
  <si>
    <t>Horas Est.</t>
  </si>
  <si>
    <t>Tarifa/h</t>
  </si>
  <si>
    <t>Subtotal</t>
  </si>
  <si>
    <t>1. Analisis y diseno</t>
  </si>
  <si>
    <t>Levantamiento de requerimientos, wireframes de las 4 vistas por rol, definicion del flujo academico.</t>
  </si>
  <si>
    <t>2. Arquitectura base</t>
  </si>
  <si>
    <t>Configuracion de backend, base de datos, autenticacion y estructura del proyecto.</t>
  </si>
  <si>
    <t>3. Gestion de roles y accesos</t>
  </si>
  <si>
    <t>Login y permisos diferenciados: Administrador, Secretario/Operario, Docente, Estudiante.</t>
  </si>
  <si>
    <t>4. Panel Administrador</t>
  </si>
  <si>
    <t>Gestion de cursos y profesores; asignacion de materias por profesor; edicion de nombres de materia.</t>
  </si>
  <si>
    <t>5. Importacion de estudiantes (Excel)</t>
  </si>
  <si>
    <t>Carga de listado de estudiantes por curso desde archivo Excel, validacion y mapeo a cursos.</t>
  </si>
  <si>
    <t>6. Planificacion curricular (Docente)</t>
  </si>
  <si>
    <t>Modulo para que el docente cree y organice la planificacion de su materia.</t>
  </si>
  <si>
    <t>7. Deberes, pruebas y calificaciones</t>
  </si>
  <si>
    <t>Creacion de asignaciones/pruebas, asentar notas por estudiante, edicion, historico y calculo de promedios.</t>
  </si>
  <si>
    <t>8. Recursos de estudio y mensajeria</t>
  </si>
  <si>
    <t>Publicar enlaces (ej. YouTube) como material de apoyo; mensajeria docente-estudiante.</t>
  </si>
  <si>
    <t>9. Dashboard del estudiante</t>
  </si>
  <si>
    <t>Vista de materias matriculadas vinculadas a notas y asistencia.</t>
  </si>
  <si>
    <t>10. Horario y calendario de actividades</t>
  </si>
  <si>
    <t>Vista de horario de clases y calendario de asignaciones/entregas pendientes.</t>
  </si>
  <si>
    <t>11. Modulo de asistencia</t>
  </si>
  <si>
    <t>Registro de asistencia por el docente y consulta de asistencia por estudiante/admin.</t>
  </si>
  <si>
    <t>12. Reportes y exportacion</t>
  </si>
  <si>
    <t>Generacion y descarga/exportacion de reportes de notas y asistencia (PDF).</t>
  </si>
  <si>
    <t>13. Pruebas, QA y correccion</t>
  </si>
  <si>
    <t>Pruebas funcionales por rol, correccion de errores, control de calidad.</t>
  </si>
  <si>
    <t>14. Despliegue y documentacion</t>
  </si>
  <si>
    <t>Puesta en produccion, configuracion de servidor, manual de usuario.</t>
  </si>
  <si>
    <t>15. Capacitacion inicial</t>
  </si>
  <si>
    <t>Capacitacion a docentes y administrativos sobre el uso de la plataforma.</t>
  </si>
  <si>
    <t>Total horas estimadas:</t>
  </si>
  <si>
    <t>Subtotal desarrollo:</t>
  </si>
  <si>
    <t>Costos de infraestructura (primer ano)</t>
  </si>
  <si>
    <t>Hosting / servidor (12 meses)</t>
  </si>
  <si>
    <t>Servidor en la nube para alojar el sistema (backend, base de datos y archivos livianos).</t>
  </si>
  <si>
    <t>Dominio (.com / .ec, 1 ano)</t>
  </si>
  <si>
    <t>Registro del dominio propio de la institucion.</t>
  </si>
  <si>
    <t>Certificado SSL</t>
  </si>
  <si>
    <t>Certificado de seguridad para conexion HTTPS (Let's Encrypt, sin costo de licencia).</t>
  </si>
  <si>
    <t>Subtotal infraestructura (primer ano):</t>
  </si>
  <si>
    <t>A partir del segundo ano, la renovacion de hosting y dominio corre por cuenta del cliente (costo estimado similar, sujeto al proveedor elegido).</t>
  </si>
  <si>
    <t>Subtotal general (desarrollo + infraestructura):</t>
  </si>
  <si>
    <t>Nota: las horas, la tarifa, los costos de infraestructura y la contingencia son editables (celdas en amarillo). El presupuesto se recalcula automaticamente.</t>
  </si>
  <si>
    <t>ALCANCE DEL PROYECTO</t>
  </si>
  <si>
    <t>SI INCLUYE (contemplado en el presupuesto)</t>
  </si>
  <si>
    <t>OK</t>
  </si>
  <si>
    <t>Revision de notas, reportes y asistencia por rol.</t>
  </si>
  <si>
    <t>Planificacion curricular a cargo del docente.</t>
  </si>
  <si>
    <t>Creacion de deberes, pruebas y asentamiento de notas.</t>
  </si>
  <si>
    <t>Calendario de asignaciones/entregas pendientes por estudiante.</t>
  </si>
  <si>
    <t>Publicacion de enlaces de apoyo (ej. videos de YouTube) por materia.</t>
  </si>
  <si>
    <t>Gestion de cuentas por roles: Administrador, Secretario/Operario, Docente, Estudiante.</t>
  </si>
  <si>
    <t>Administrador: gestion de cursos y profesores; edicion de nombre de materias.</t>
  </si>
  <si>
    <t>Asignacion de materias por profesor.</t>
  </si>
  <si>
    <t>Dashboard del estudiante vinculado a materias, notas y asistencia.</t>
  </si>
  <si>
    <t>Horario de clases visible para docente y estudiante.</t>
  </si>
  <si>
    <t>Mensajeria basica docente-estudiante.</t>
  </si>
  <si>
    <t>Exportacion/descarga de reportes de notas y asistencia (formato documento).</t>
  </si>
  <si>
    <t>Importacion de listado de estudiantes por curso desde un archivo Excel.</t>
  </si>
  <si>
    <t>Hosting, dominio y certificado SSL durante el primer ano de operacion.</t>
  </si>
  <si>
    <t>NO INCLUYE (pendiente de definir / costo adicional)</t>
  </si>
  <si>
    <t>Flujo completo de matriculas</t>
  </si>
  <si>
    <t>No se conoce aun el proceso interno de matriculacion de la institucion. Por ahora solo se contempla la carga de listados via Excel. Un modulo de matricula end-to-end (formularios, pagos, validaciones) se cotizaria por separado.</t>
  </si>
  <si>
    <t>Carga de archivos (PDF, imagenes, documentos) en tareas</t>
  </si>
  <si>
    <t>Requiere almacenamiento de archivos pesados (servicio de storage), lo cual implica costos de infraestructura y desarrollo adicional no incluidos en este presupuesto.</t>
  </si>
  <si>
    <t>Aplicacion movil nativa (Android/iOS)</t>
  </si>
  <si>
    <t>Este presupuesto contempla plataforma web responsiva; una app nativa se cotiza aparte.</t>
  </si>
  <si>
    <t>Pasarela de pagos / cobros en linea</t>
  </si>
  <si>
    <t>No contemplado; puede integrarse en una fase posterior.</t>
  </si>
  <si>
    <t>Notificaciones push / SMS</t>
  </si>
  <si>
    <t>Solo se contempla mensajeria interna dentro de la plataforma.</t>
  </si>
  <si>
    <t>Mantenimiento y soporte post-entrega</t>
  </si>
  <si>
    <t>Se recomienda cotizar un plan de mantenimiento mensual por separado.</t>
  </si>
  <si>
    <t>Renovacion de hosting/dominio (2do ano en adelante)</t>
  </si>
  <si>
    <t>El primer ano esta incluido; la renovacion anual posterior corre por cuenta de la institucion.</t>
  </si>
  <si>
    <t>Infraestructura (hosting, dominio y SSL - primer año):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</si>
</sst>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&quot; h&quot;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D9D9D9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14"/>
      <color rgb="FF1F3864"/>
      <name val="Arial"/>
      <charset val="1"/>
    </font>
    <font>
      <i/>
      <sz val="9"/>
      <color rgb="FF7F7F7F"/>
      <name val="Arial"/>
      <charset val="1"/>
    </font>
    <font>
      <b/>
      <sz val="13"/>
      <color rgb="FF1F3864"/>
      <name val="Arial"/>
      <charset val="1"/>
    </font>
    <font>
      <b/>
      <sz val="11"/>
      <color rgb="FF2E7D32"/>
      <name val="Arial"/>
      <charset val="1"/>
    </font>
    <font>
      <b/>
      <sz val="10"/>
      <color rgb="FFC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F0D9"/>
      </patternFill>
    </fill>
    <fill>
      <patternFill patternType="solid">
        <fgColor rgb="FF2E7D32"/>
        <bgColor rgb="FF008000"/>
      </patternFill>
    </fill>
    <fill>
      <patternFill patternType="solid">
        <fgColor rgb="FFE2F0D9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164" fontId="6" fillId="0" borderId="0" xfId="0" applyNumberFormat="1" applyFont="1"/>
    <xf numFmtId="0" fontId="7" fillId="4" borderId="1" xfId="0" applyFont="1" applyFill="1" applyBorder="1"/>
    <xf numFmtId="0" fontId="0" fillId="4" borderId="1" xfId="0" applyFill="1" applyBorder="1"/>
    <xf numFmtId="164" fontId="8" fillId="4" borderId="1" xfId="0" applyNumberFormat="1" applyFont="1" applyFill="1" applyBorder="1"/>
    <xf numFmtId="164" fontId="4" fillId="5" borderId="1" xfId="0" applyNumberFormat="1" applyFont="1" applyFill="1" applyBorder="1"/>
    <xf numFmtId="0" fontId="9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0" fontId="6" fillId="6" borderId="1" xfId="0" applyFont="1" applyFill="1" applyBorder="1"/>
    <xf numFmtId="0" fontId="6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164" fontId="6" fillId="6" borderId="1" xfId="0" applyNumberFormat="1" applyFont="1" applyFill="1" applyBorder="1"/>
    <xf numFmtId="165" fontId="6" fillId="0" borderId="0" xfId="0" applyNumberFormat="1" applyFont="1"/>
    <xf numFmtId="9" fontId="4" fillId="5" borderId="0" xfId="0" applyNumberFormat="1" applyFont="1" applyFill="1"/>
    <xf numFmtId="164" fontId="10" fillId="4" borderId="1" xfId="0" applyNumberFormat="1" applyFont="1" applyFill="1" applyBorder="1"/>
    <xf numFmtId="0" fontId="11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 applyBorder="1"/>
    <xf numFmtId="0" fontId="5" fillId="3" borderId="0" xfId="0" applyFont="1" applyFill="1" applyBorder="1"/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/>
    <xf numFmtId="0" fontId="9" fillId="0" borderId="0" xfId="0" applyFont="1" applyBorder="1"/>
    <xf numFmtId="0" fontId="2" fillId="2" borderId="0" xfId="0" applyFont="1" applyFill="1" applyBorder="1" applyAlignment="1">
      <alignment horizontal="left" vertical="center" indent="1"/>
    </xf>
    <xf numFmtId="0" fontId="6" fillId="0" borderId="0" xfId="0" applyFont="1" applyBorder="1"/>
    <xf numFmtId="0" fontId="5" fillId="7" borderId="0" xfId="0" applyFont="1" applyFill="1" applyBorder="1"/>
    <xf numFmtId="0" fontId="5" fillId="9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showGridLines="0" zoomScaleNormal="100" workbookViewId="0">
      <selection activeCell="D15" sqref="D15"/>
    </sheetView>
  </sheetViews>
  <sheetFormatPr defaultColWidth="8.7421875" defaultRowHeight="15" x14ac:dyDescent="0.2"/>
  <cols>
    <col min="1" max="1" width="2.95703125" customWidth="1"/>
    <col min="2" max="2" width="25.9609375" customWidth="1"/>
    <col min="3" max="3" width="39.953125" customWidth="1"/>
    <col min="4" max="4" width="20.04296875" customWidth="1"/>
    <col min="5" max="5" width="2.95703125" customWidth="1"/>
  </cols>
  <sheetData>
    <row r="2" spans="1:5" ht="31.5" customHeight="1" x14ac:dyDescent="0.2">
      <c r="A2" s="1"/>
      <c r="B2" s="29" t="s">
        <v>0</v>
      </c>
      <c r="C2" s="29"/>
      <c r="D2" s="29"/>
      <c r="E2" s="1"/>
    </row>
    <row r="3" spans="1:5" ht="19.5" customHeight="1" x14ac:dyDescent="0.2">
      <c r="A3" s="1"/>
      <c r="B3" s="35" t="s">
        <v>1</v>
      </c>
      <c r="C3" s="35"/>
      <c r="D3" s="35"/>
      <c r="E3" s="1"/>
    </row>
    <row r="5" spans="1:5" x14ac:dyDescent="0.2">
      <c r="B5" s="2" t="s">
        <v>2</v>
      </c>
      <c r="C5" s="3" t="s">
        <v>3</v>
      </c>
    </row>
    <row r="6" spans="1:5" x14ac:dyDescent="0.2">
      <c r="B6" s="2" t="s">
        <v>4</v>
      </c>
      <c r="C6" s="3" t="s">
        <v>5</v>
      </c>
    </row>
    <row r="7" spans="1:5" x14ac:dyDescent="0.2">
      <c r="B7" s="2" t="s">
        <v>6</v>
      </c>
      <c r="C7" s="3" t="s">
        <v>7</v>
      </c>
    </row>
    <row r="8" spans="1:5" x14ac:dyDescent="0.2">
      <c r="B8" s="2" t="s">
        <v>8</v>
      </c>
      <c r="C8" s="3" t="s">
        <v>9</v>
      </c>
    </row>
    <row r="9" spans="1:5" x14ac:dyDescent="0.2">
      <c r="B9" s="2" t="s">
        <v>10</v>
      </c>
      <c r="C9" s="3" t="s">
        <v>11</v>
      </c>
    </row>
    <row r="11" spans="1:5" x14ac:dyDescent="0.2">
      <c r="B11" s="31" t="s">
        <v>12</v>
      </c>
      <c r="C11" s="31"/>
      <c r="D11" s="31"/>
    </row>
    <row r="12" spans="1:5" x14ac:dyDescent="0.2">
      <c r="B12" s="4" t="s">
        <v>13</v>
      </c>
      <c r="D12" s="5">
        <f>'Presupuesto Detallado'!F24</f>
        <v>3278</v>
      </c>
    </row>
    <row r="13" spans="1:5" x14ac:dyDescent="0.2">
      <c r="B13" s="4" t="s">
        <v>106</v>
      </c>
      <c r="D13" s="5">
        <f>'Presupuesto Detallado'!F30</f>
        <v>140</v>
      </c>
    </row>
    <row r="14" spans="1:5" x14ac:dyDescent="0.2">
      <c r="B14" s="4" t="s">
        <v>14</v>
      </c>
      <c r="D14" s="5">
        <f>'Presupuesto Detallado'!F34</f>
        <v>170.9</v>
      </c>
    </row>
    <row r="15" spans="1:5" ht="18" x14ac:dyDescent="0.2">
      <c r="B15" s="6" t="s">
        <v>15</v>
      </c>
      <c r="C15" s="7"/>
      <c r="D15" s="8">
        <f>'Presupuesto Detallado'!F35</f>
        <v>3588.9</v>
      </c>
    </row>
    <row r="17" spans="2:4" x14ac:dyDescent="0.2">
      <c r="B17" s="34" t="s">
        <v>16</v>
      </c>
      <c r="C17" s="34"/>
      <c r="D17" s="34"/>
    </row>
    <row r="19" spans="2:4" x14ac:dyDescent="0.2">
      <c r="B19" s="31" t="s">
        <v>17</v>
      </c>
      <c r="C19" s="31"/>
      <c r="D19" s="31"/>
    </row>
    <row r="20" spans="2:4" x14ac:dyDescent="0.2">
      <c r="B20" s="36" t="s">
        <v>18</v>
      </c>
      <c r="C20" s="36"/>
      <c r="D20" s="36"/>
    </row>
    <row r="21" spans="2:4" x14ac:dyDescent="0.2">
      <c r="B21" s="36" t="s">
        <v>19</v>
      </c>
      <c r="C21" s="36"/>
      <c r="D21" s="36"/>
    </row>
    <row r="22" spans="2:4" x14ac:dyDescent="0.2">
      <c r="B22" s="36" t="s">
        <v>20</v>
      </c>
      <c r="C22" s="36"/>
      <c r="D22" s="36"/>
    </row>
    <row r="23" spans="2:4" x14ac:dyDescent="0.2">
      <c r="B23" s="36" t="s">
        <v>21</v>
      </c>
      <c r="C23" s="36"/>
      <c r="D23" s="36"/>
    </row>
    <row r="25" spans="2:4" x14ac:dyDescent="0.2">
      <c r="B25" s="34" t="s">
        <v>22</v>
      </c>
      <c r="C25" s="34"/>
      <c r="D25" s="34"/>
    </row>
  </sheetData>
  <mergeCells count="10">
    <mergeCell ref="B20:D20"/>
    <mergeCell ref="B21:D21"/>
    <mergeCell ref="B22:D22"/>
    <mergeCell ref="B23:D23"/>
    <mergeCell ref="B25:D25"/>
    <mergeCell ref="B2:D2"/>
    <mergeCell ref="B3:D3"/>
    <mergeCell ref="B11:D11"/>
    <mergeCell ref="B17:D17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7"/>
  <sheetViews>
    <sheetView showGridLines="0" tabSelected="1" zoomScaleNormal="100" workbookViewId="0">
      <pane xSplit="1" ySplit="6" topLeftCell="B19" activePane="bottomRight" state="frozen"/>
      <selection pane="bottomLeft" activeCell="A7" sqref="A7"/>
      <selection pane="topRight" activeCell="B1" sqref="B1"/>
      <selection pane="bottomRight" activeCell="J21" sqref="J21"/>
    </sheetView>
  </sheetViews>
  <sheetFormatPr defaultColWidth="8.7421875" defaultRowHeight="15" x14ac:dyDescent="0.2"/>
  <cols>
    <col min="1" max="1" width="2.95703125" customWidth="1"/>
    <col min="2" max="2" width="34.03125" customWidth="1"/>
    <col min="3" max="3" width="46.00390625" customWidth="1"/>
    <col min="4" max="4" width="11.97265625" customWidth="1"/>
    <col min="5" max="6" width="13.98828125" customWidth="1"/>
    <col min="7" max="7" width="2.95703125" customWidth="1"/>
  </cols>
  <sheetData>
    <row r="2" spans="1:7" ht="30" customHeight="1" x14ac:dyDescent="0.2">
      <c r="A2" s="1"/>
      <c r="B2" s="29" t="s">
        <v>23</v>
      </c>
      <c r="C2" s="29"/>
      <c r="D2" s="29"/>
      <c r="E2" s="29"/>
      <c r="F2" s="29"/>
      <c r="G2" s="1"/>
    </row>
    <row r="4" spans="1:7" x14ac:dyDescent="0.2">
      <c r="B4" s="2" t="s">
        <v>24</v>
      </c>
      <c r="C4" s="9">
        <v>11</v>
      </c>
      <c r="D4" s="10" t="s">
        <v>25</v>
      </c>
    </row>
    <row r="6" spans="1:7" ht="25.5" customHeight="1" x14ac:dyDescent="0.2">
      <c r="B6" s="11" t="s">
        <v>26</v>
      </c>
      <c r="C6" s="11" t="s">
        <v>27</v>
      </c>
      <c r="D6" s="11" t="s">
        <v>28</v>
      </c>
      <c r="E6" s="11" t="s">
        <v>29</v>
      </c>
      <c r="F6" s="11" t="s">
        <v>30</v>
      </c>
    </row>
    <row r="7" spans="1:7" ht="31.5" customHeight="1" x14ac:dyDescent="0.2">
      <c r="B7" s="12" t="s">
        <v>31</v>
      </c>
      <c r="C7" s="13" t="s">
        <v>32</v>
      </c>
      <c r="D7" s="14">
        <v>25</v>
      </c>
      <c r="E7" s="15">
        <f t="shared" ref="E7:E21" si="0">$C$4</f>
        <v>11</v>
      </c>
      <c r="F7" s="16">
        <f t="shared" ref="F7:F21" si="1">D7*E7</f>
        <v>275</v>
      </c>
    </row>
    <row r="8" spans="1:7" ht="31.5" customHeight="1" x14ac:dyDescent="0.2">
      <c r="B8" s="17" t="s">
        <v>33</v>
      </c>
      <c r="C8" s="18" t="s">
        <v>34</v>
      </c>
      <c r="D8" s="19">
        <v>20</v>
      </c>
      <c r="E8" s="20">
        <f t="shared" si="0"/>
        <v>11</v>
      </c>
      <c r="F8" s="21">
        <f t="shared" si="1"/>
        <v>220</v>
      </c>
    </row>
    <row r="9" spans="1:7" ht="31.5" customHeight="1" x14ac:dyDescent="0.2">
      <c r="B9" s="12" t="s">
        <v>35</v>
      </c>
      <c r="C9" s="13" t="s">
        <v>36</v>
      </c>
      <c r="D9" s="14">
        <v>20</v>
      </c>
      <c r="E9" s="15">
        <f t="shared" si="0"/>
        <v>11</v>
      </c>
      <c r="F9" s="16">
        <f t="shared" si="1"/>
        <v>220</v>
      </c>
    </row>
    <row r="10" spans="1:7" ht="31.5" customHeight="1" x14ac:dyDescent="0.2">
      <c r="B10" s="17" t="s">
        <v>37</v>
      </c>
      <c r="C10" s="18" t="s">
        <v>38</v>
      </c>
      <c r="D10" s="19">
        <v>25</v>
      </c>
      <c r="E10" s="20">
        <f t="shared" si="0"/>
        <v>11</v>
      </c>
      <c r="F10" s="21">
        <f t="shared" si="1"/>
        <v>275</v>
      </c>
    </row>
    <row r="11" spans="1:7" ht="31.5" customHeight="1" x14ac:dyDescent="0.2">
      <c r="B11" s="12" t="s">
        <v>39</v>
      </c>
      <c r="C11" s="13" t="s">
        <v>40</v>
      </c>
      <c r="D11" s="14">
        <v>14</v>
      </c>
      <c r="E11" s="15">
        <f t="shared" si="0"/>
        <v>11</v>
      </c>
      <c r="F11" s="16">
        <f t="shared" si="1"/>
        <v>154</v>
      </c>
    </row>
    <row r="12" spans="1:7" ht="31.5" customHeight="1" x14ac:dyDescent="0.2">
      <c r="B12" s="17" t="s">
        <v>41</v>
      </c>
      <c r="C12" s="18" t="s">
        <v>42</v>
      </c>
      <c r="D12" s="19">
        <v>18</v>
      </c>
      <c r="E12" s="20">
        <f t="shared" si="0"/>
        <v>11</v>
      </c>
      <c r="F12" s="21">
        <f t="shared" si="1"/>
        <v>198</v>
      </c>
    </row>
    <row r="13" spans="1:7" ht="31.5" customHeight="1" x14ac:dyDescent="0.2">
      <c r="B13" s="12" t="s">
        <v>43</v>
      </c>
      <c r="C13" s="13" t="s">
        <v>44</v>
      </c>
      <c r="D13" s="14">
        <v>32</v>
      </c>
      <c r="E13" s="15">
        <f t="shared" si="0"/>
        <v>11</v>
      </c>
      <c r="F13" s="16">
        <f t="shared" si="1"/>
        <v>352</v>
      </c>
    </row>
    <row r="14" spans="1:7" ht="31.5" customHeight="1" x14ac:dyDescent="0.2">
      <c r="B14" s="17" t="s">
        <v>45</v>
      </c>
      <c r="C14" s="18" t="s">
        <v>46</v>
      </c>
      <c r="D14" s="19">
        <v>16</v>
      </c>
      <c r="E14" s="20">
        <f t="shared" si="0"/>
        <v>11</v>
      </c>
      <c r="F14" s="21">
        <f t="shared" si="1"/>
        <v>176</v>
      </c>
    </row>
    <row r="15" spans="1:7" ht="31.5" customHeight="1" x14ac:dyDescent="0.2">
      <c r="B15" s="12" t="s">
        <v>47</v>
      </c>
      <c r="C15" s="13" t="s">
        <v>48</v>
      </c>
      <c r="D15" s="14">
        <v>18</v>
      </c>
      <c r="E15" s="15">
        <f t="shared" si="0"/>
        <v>11</v>
      </c>
      <c r="F15" s="16">
        <f t="shared" si="1"/>
        <v>198</v>
      </c>
    </row>
    <row r="16" spans="1:7" ht="31.5" customHeight="1" x14ac:dyDescent="0.2">
      <c r="B16" s="17" t="s">
        <v>49</v>
      </c>
      <c r="C16" s="18" t="s">
        <v>50</v>
      </c>
      <c r="D16" s="19">
        <v>16</v>
      </c>
      <c r="E16" s="20">
        <f t="shared" si="0"/>
        <v>11</v>
      </c>
      <c r="F16" s="21">
        <f t="shared" si="1"/>
        <v>176</v>
      </c>
    </row>
    <row r="17" spans="2:6" ht="31.5" customHeight="1" x14ac:dyDescent="0.2">
      <c r="B17" s="12" t="s">
        <v>51</v>
      </c>
      <c r="C17" s="13" t="s">
        <v>52</v>
      </c>
      <c r="D17" s="14">
        <v>16</v>
      </c>
      <c r="E17" s="15">
        <f t="shared" si="0"/>
        <v>11</v>
      </c>
      <c r="F17" s="16">
        <f t="shared" si="1"/>
        <v>176</v>
      </c>
    </row>
    <row r="18" spans="2:6" ht="31.5" customHeight="1" x14ac:dyDescent="0.2">
      <c r="B18" s="17" t="s">
        <v>53</v>
      </c>
      <c r="C18" s="18" t="s">
        <v>54</v>
      </c>
      <c r="D18" s="19">
        <v>22</v>
      </c>
      <c r="E18" s="20">
        <f t="shared" si="0"/>
        <v>11</v>
      </c>
      <c r="F18" s="21">
        <f t="shared" si="1"/>
        <v>242</v>
      </c>
    </row>
    <row r="19" spans="2:6" ht="31.5" customHeight="1" x14ac:dyDescent="0.2">
      <c r="B19" s="12" t="s">
        <v>55</v>
      </c>
      <c r="C19" s="13" t="s">
        <v>56</v>
      </c>
      <c r="D19" s="14">
        <v>28</v>
      </c>
      <c r="E19" s="15">
        <f t="shared" si="0"/>
        <v>11</v>
      </c>
      <c r="F19" s="16">
        <f t="shared" si="1"/>
        <v>308</v>
      </c>
    </row>
    <row r="20" spans="2:6" ht="31.5" customHeight="1" x14ac:dyDescent="0.2">
      <c r="B20" s="17" t="s">
        <v>57</v>
      </c>
      <c r="C20" s="18" t="s">
        <v>58</v>
      </c>
      <c r="D20" s="19">
        <v>20</v>
      </c>
      <c r="E20" s="20">
        <f t="shared" si="0"/>
        <v>11</v>
      </c>
      <c r="F20" s="21">
        <f t="shared" si="1"/>
        <v>220</v>
      </c>
    </row>
    <row r="21" spans="2:6" ht="31.5" customHeight="1" x14ac:dyDescent="0.2">
      <c r="B21" s="12" t="s">
        <v>59</v>
      </c>
      <c r="C21" s="13" t="s">
        <v>60</v>
      </c>
      <c r="D21" s="14">
        <v>8</v>
      </c>
      <c r="E21" s="15">
        <f t="shared" si="0"/>
        <v>11</v>
      </c>
      <c r="F21" s="16">
        <f t="shared" si="1"/>
        <v>88</v>
      </c>
    </row>
    <row r="23" spans="2:6" x14ac:dyDescent="0.2">
      <c r="B23" s="30" t="s">
        <v>61</v>
      </c>
      <c r="C23" s="30"/>
      <c r="D23" s="30"/>
      <c r="E23" s="30"/>
      <c r="F23" s="22">
        <f>SUM(D7:D21)</f>
        <v>298</v>
      </c>
    </row>
    <row r="24" spans="2:6" x14ac:dyDescent="0.2">
      <c r="B24" s="30" t="s">
        <v>62</v>
      </c>
      <c r="C24" s="30"/>
      <c r="D24" s="30"/>
      <c r="E24" s="30"/>
      <c r="F24" s="5">
        <f>SUM(F7:F21)</f>
        <v>3278</v>
      </c>
    </row>
    <row r="26" spans="2:6" x14ac:dyDescent="0.2">
      <c r="B26" s="31" t="s">
        <v>63</v>
      </c>
      <c r="C26" s="31"/>
      <c r="D26" s="31"/>
      <c r="E26" s="31"/>
      <c r="F26" s="31"/>
    </row>
    <row r="27" spans="2:6" ht="27.75" customHeight="1" x14ac:dyDescent="0.2">
      <c r="B27" s="12" t="s">
        <v>64</v>
      </c>
      <c r="C27" s="32" t="s">
        <v>65</v>
      </c>
      <c r="D27" s="32"/>
      <c r="E27" s="32"/>
      <c r="F27" s="9">
        <v>120</v>
      </c>
    </row>
    <row r="28" spans="2:6" ht="27.75" customHeight="1" x14ac:dyDescent="0.2">
      <c r="B28" s="12" t="s">
        <v>66</v>
      </c>
      <c r="C28" s="32" t="s">
        <v>67</v>
      </c>
      <c r="D28" s="32"/>
      <c r="E28" s="32"/>
      <c r="F28" s="9">
        <v>20</v>
      </c>
    </row>
    <row r="29" spans="2:6" ht="27.75" customHeight="1" x14ac:dyDescent="0.2">
      <c r="B29" s="12" t="s">
        <v>68</v>
      </c>
      <c r="C29" s="32" t="s">
        <v>69</v>
      </c>
      <c r="D29" s="32"/>
      <c r="E29" s="32"/>
      <c r="F29" s="9">
        <v>0</v>
      </c>
    </row>
    <row r="30" spans="2:6" x14ac:dyDescent="0.2">
      <c r="B30" s="30" t="s">
        <v>70</v>
      </c>
      <c r="C30" s="30"/>
      <c r="D30" s="30"/>
      <c r="E30" s="30"/>
      <c r="F30" s="5">
        <f>SUM(F27:F29)</f>
        <v>140</v>
      </c>
    </row>
    <row r="31" spans="2:6" x14ac:dyDescent="0.2">
      <c r="B31" s="34" t="s">
        <v>71</v>
      </c>
      <c r="C31" s="34"/>
      <c r="D31" s="34"/>
      <c r="E31" s="34"/>
      <c r="F31" s="34"/>
    </row>
    <row r="33" spans="2:6" x14ac:dyDescent="0.2">
      <c r="B33" s="30" t="s">
        <v>72</v>
      </c>
      <c r="C33" s="30"/>
      <c r="D33" s="30"/>
      <c r="E33" s="30"/>
      <c r="F33" s="5">
        <f>F24+F30</f>
        <v>3418</v>
      </c>
    </row>
    <row r="34" spans="2:6" x14ac:dyDescent="0.2">
      <c r="B34" s="30" t="s">
        <v>14</v>
      </c>
      <c r="C34" s="30"/>
      <c r="D34" s="23">
        <v>0.05</v>
      </c>
      <c r="F34" s="5">
        <f>F33*D34</f>
        <v>170.9</v>
      </c>
    </row>
    <row r="35" spans="2:6" ht="17.25" x14ac:dyDescent="0.2">
      <c r="B35" s="33" t="s">
        <v>15</v>
      </c>
      <c r="C35" s="33"/>
      <c r="D35" s="33"/>
      <c r="E35" s="33"/>
      <c r="F35" s="24">
        <f>F33+F34</f>
        <v>3588.9</v>
      </c>
    </row>
    <row r="37" spans="2:6" x14ac:dyDescent="0.2">
      <c r="B37" s="34" t="s">
        <v>73</v>
      </c>
      <c r="C37" s="34"/>
      <c r="D37" s="34"/>
      <c r="E37" s="34"/>
      <c r="F37" s="34"/>
    </row>
  </sheetData>
  <mergeCells count="13">
    <mergeCell ref="B34:C34"/>
    <mergeCell ref="B35:E35"/>
    <mergeCell ref="B37:F37"/>
    <mergeCell ref="C28:E28"/>
    <mergeCell ref="C29:E29"/>
    <mergeCell ref="B30:E30"/>
    <mergeCell ref="B31:F31"/>
    <mergeCell ref="B33:E33"/>
    <mergeCell ref="B2:F2"/>
    <mergeCell ref="B23:E23"/>
    <mergeCell ref="B24:E24"/>
    <mergeCell ref="B26:F26"/>
    <mergeCell ref="C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7"/>
  <sheetViews>
    <sheetView showGridLines="0" zoomScaleNormal="100" workbookViewId="0"/>
  </sheetViews>
  <sheetFormatPr defaultColWidth="8.7421875" defaultRowHeight="15" x14ac:dyDescent="0.2"/>
  <cols>
    <col min="1" max="1" width="2.95703125" customWidth="1"/>
    <col min="2" max="2" width="41.96875" customWidth="1"/>
    <col min="3" max="3" width="46.00390625" customWidth="1"/>
    <col min="4" max="4" width="2.95703125" customWidth="1"/>
  </cols>
  <sheetData>
    <row r="2" spans="1:4" ht="30" customHeight="1" x14ac:dyDescent="0.2">
      <c r="A2" s="1"/>
      <c r="B2" s="29" t="s">
        <v>74</v>
      </c>
      <c r="C2" s="29"/>
      <c r="D2" s="1"/>
    </row>
    <row r="4" spans="1:4" x14ac:dyDescent="0.2">
      <c r="B4" s="37" t="s">
        <v>75</v>
      </c>
      <c r="C4" s="37"/>
    </row>
    <row r="5" spans="1:4" ht="25.5" customHeight="1" x14ac:dyDescent="0.2">
      <c r="B5" s="25" t="s">
        <v>76</v>
      </c>
      <c r="C5" s="26" t="s">
        <v>77</v>
      </c>
    </row>
    <row r="6" spans="1:4" ht="25.5" customHeight="1" x14ac:dyDescent="0.2">
      <c r="B6" s="25" t="s">
        <v>76</v>
      </c>
      <c r="C6" s="26" t="s">
        <v>78</v>
      </c>
    </row>
    <row r="7" spans="1:4" ht="25.5" customHeight="1" x14ac:dyDescent="0.2">
      <c r="B7" s="25" t="s">
        <v>76</v>
      </c>
      <c r="C7" s="26" t="s">
        <v>79</v>
      </c>
    </row>
    <row r="8" spans="1:4" ht="25.5" customHeight="1" x14ac:dyDescent="0.2">
      <c r="B8" s="25" t="s">
        <v>76</v>
      </c>
      <c r="C8" s="26" t="s">
        <v>80</v>
      </c>
    </row>
    <row r="9" spans="1:4" ht="25.5" customHeight="1" x14ac:dyDescent="0.2">
      <c r="B9" s="25" t="s">
        <v>76</v>
      </c>
      <c r="C9" s="26" t="s">
        <v>81</v>
      </c>
    </row>
    <row r="10" spans="1:4" ht="25.5" customHeight="1" x14ac:dyDescent="0.2">
      <c r="B10" s="25" t="s">
        <v>76</v>
      </c>
      <c r="C10" s="26" t="s">
        <v>82</v>
      </c>
    </row>
    <row r="11" spans="1:4" ht="25.5" customHeight="1" x14ac:dyDescent="0.2">
      <c r="B11" s="25" t="s">
        <v>76</v>
      </c>
      <c r="C11" s="26" t="s">
        <v>83</v>
      </c>
    </row>
    <row r="12" spans="1:4" ht="25.5" customHeight="1" x14ac:dyDescent="0.2">
      <c r="B12" s="25" t="s">
        <v>76</v>
      </c>
      <c r="C12" s="26" t="s">
        <v>84</v>
      </c>
    </row>
    <row r="13" spans="1:4" ht="25.5" customHeight="1" x14ac:dyDescent="0.2">
      <c r="B13" s="25" t="s">
        <v>76</v>
      </c>
      <c r="C13" s="26" t="s">
        <v>85</v>
      </c>
    </row>
    <row r="14" spans="1:4" ht="25.5" customHeight="1" x14ac:dyDescent="0.2">
      <c r="B14" s="25" t="s">
        <v>76</v>
      </c>
      <c r="C14" s="26" t="s">
        <v>86</v>
      </c>
    </row>
    <row r="15" spans="1:4" ht="25.5" customHeight="1" x14ac:dyDescent="0.2">
      <c r="B15" s="25" t="s">
        <v>76</v>
      </c>
      <c r="C15" s="26" t="s">
        <v>87</v>
      </c>
    </row>
    <row r="16" spans="1:4" ht="25.5" customHeight="1" x14ac:dyDescent="0.2">
      <c r="B16" s="25" t="s">
        <v>76</v>
      </c>
      <c r="C16" s="26" t="s">
        <v>88</v>
      </c>
    </row>
    <row r="17" spans="2:3" ht="25.5" customHeight="1" x14ac:dyDescent="0.2">
      <c r="B17" s="25" t="s">
        <v>76</v>
      </c>
      <c r="C17" s="26" t="s">
        <v>89</v>
      </c>
    </row>
    <row r="18" spans="2:3" ht="25.5" customHeight="1" x14ac:dyDescent="0.2">
      <c r="B18" s="25" t="s">
        <v>76</v>
      </c>
      <c r="C18" s="26" t="s">
        <v>90</v>
      </c>
    </row>
    <row r="20" spans="2:3" x14ac:dyDescent="0.2">
      <c r="B20" s="38" t="s">
        <v>91</v>
      </c>
      <c r="C20" s="38"/>
    </row>
    <row r="21" spans="2:3" ht="42" customHeight="1" x14ac:dyDescent="0.2">
      <c r="B21" s="27" t="s">
        <v>92</v>
      </c>
      <c r="C21" s="28" t="s">
        <v>93</v>
      </c>
    </row>
    <row r="22" spans="2:3" ht="42" customHeight="1" x14ac:dyDescent="0.2">
      <c r="B22" s="27" t="s">
        <v>94</v>
      </c>
      <c r="C22" s="28" t="s">
        <v>95</v>
      </c>
    </row>
    <row r="23" spans="2:3" ht="42" customHeight="1" x14ac:dyDescent="0.2">
      <c r="B23" s="27" t="s">
        <v>96</v>
      </c>
      <c r="C23" s="28" t="s">
        <v>97</v>
      </c>
    </row>
    <row r="24" spans="2:3" ht="42" customHeight="1" x14ac:dyDescent="0.2">
      <c r="B24" s="27" t="s">
        <v>98</v>
      </c>
      <c r="C24" s="28" t="s">
        <v>99</v>
      </c>
    </row>
    <row r="25" spans="2:3" ht="42" customHeight="1" x14ac:dyDescent="0.2">
      <c r="B25" s="27" t="s">
        <v>100</v>
      </c>
      <c r="C25" s="28" t="s">
        <v>101</v>
      </c>
    </row>
    <row r="26" spans="2:3" ht="42" customHeight="1" x14ac:dyDescent="0.2">
      <c r="B26" s="27" t="s">
        <v>102</v>
      </c>
      <c r="C26" s="28" t="s">
        <v>103</v>
      </c>
    </row>
    <row r="27" spans="2:3" ht="42" customHeight="1" x14ac:dyDescent="0.2">
      <c r="B27" s="27" t="s">
        <v>104</v>
      </c>
      <c r="C27" s="28" t="s">
        <v>105</v>
      </c>
    </row>
  </sheetData>
  <mergeCells count="3">
    <mergeCell ref="B2:C2"/>
    <mergeCell ref="B4:C4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Presupuesto Detallado</vt:lpstr>
      <vt:lpstr>Alcance y Exclusiones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Bonifaz</cp:lastModifiedBy>
  <cp:revision>0</cp:revision>
  <dcterms:created xsi:type="dcterms:W3CDTF">2026-07-09T00:45:10Z</dcterms:created>
  <dcterms:modified xsi:type="dcterms:W3CDTF">2026-07-09T01:11:58Z</dcterms:modified>
  <dc:language>en-US</dc:language>
</cp:coreProperties>
</file>