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dades" sheetId="1" state="visible" r:id="rId1"/>
    <sheet name="Marcelo" sheetId="2" state="visible" r:id="rId2"/>
    <sheet name="Abner" sheetId="3" state="visible" r:id="rId3"/>
    <sheet name="Christian" sheetId="4" state="visible" r:id="rId4"/>
    <sheet name="Spr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/M/YYYY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DEDE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drive/folders/1YPAxr01a9tsbq0SyloXssG4I0kouboWI?usp=sharing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drive/folders/1YPAxr01a9tsbq0SyloXssG4I0kouboWI?usp=sharing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drive/folders/1YPAxr01a9tsbq0SyloXssG4I0kouboWI?usp=sharing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drive/folders/1YPAxr01a9tsbq0SyloXssG4I0kouboWI?usp=sharin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.5" customWidth="1" min="2" max="2"/>
    <col width="10" customWidth="1" min="3" max="3"/>
    <col width="6.5" customWidth="1" min="4" max="4"/>
    <col width="50" customWidth="1" min="5" max="5"/>
    <col width="55" customWidth="1" min="6" max="6"/>
    <col width="60" customWidth="1" min="7" max="7"/>
    <col width="24" customWidth="1" min="8" max="8"/>
  </cols>
  <sheetData>
    <row r="1">
      <c r="B1" s="1" t="inlineStr">
        <is>
          <t>Fecha</t>
        </is>
      </c>
      <c r="C1" s="1" t="inlineStr">
        <is>
          <t>Dia</t>
        </is>
      </c>
      <c r="D1" s="1" t="inlineStr">
        <is>
          <t>Horas</t>
        </is>
      </c>
      <c r="E1" s="1" t="inlineStr">
        <is>
          <t>Actividad</t>
        </is>
      </c>
      <c r="F1" s="1" t="inlineStr">
        <is>
          <t>Entregable</t>
        </is>
      </c>
      <c r="G1" s="1" t="inlineStr">
        <is>
          <t>Evidencia</t>
        </is>
      </c>
      <c r="H1" s="1" t="inlineStr">
        <is>
          <t>Carpeta en Drive</t>
        </is>
      </c>
    </row>
    <row r="2">
      <c r="B2" s="2" t="n">
        <v>46295</v>
      </c>
      <c r="C2" s="3">
        <f>CHOOSE(WEEKDAY(B2,2),"lunes","martes","miércoles","jueves","viernes","sábado","domingo")</f>
        <v/>
      </c>
      <c r="D2" s="3" t="n">
        <v>12</v>
      </c>
      <c r="E2" s="4" t="inlineStr">
        <is>
          <t>Definición del tema del proyecto y del cliente</t>
        </is>
      </c>
      <c r="F2" s="4" t="inlineStr">
        <is>
          <t>Tema del proyecto definido; Inventario de documentos del cliente; Lista de funcionalidades del prototipo</t>
        </is>
      </c>
      <c r="G2" s="4" t="inlineStr">
        <is>
          <t>Acta o resumen de la reunión en el Drive; Lista de documentos recibidos en el Drive; Capturas del prototipo en el Drive</t>
        </is>
      </c>
      <c r="H2" s="4" t="inlineStr">
        <is>
          <t>Sprint_01/</t>
        </is>
      </c>
    </row>
    <row r="3">
      <c r="B3" s="2" t="n">
        <v>46296</v>
      </c>
      <c r="C3" s="3">
        <f>CHOOSE(WEEKDAY(B3,2),"lunes","martes","miércoles","jueves","viernes","sábado","domingo")</f>
        <v/>
      </c>
      <c r="D3" s="3" t="n">
        <v>12</v>
      </c>
      <c r="E3" s="4" t="inlineStr">
        <is>
          <t>Problemática y necesidad del proyecto</t>
        </is>
      </c>
      <c r="F3" s="4" t="inlineStr">
        <is>
          <t>Problema redactado; Afectados y consecuencias; Necesidad y oportunidad</t>
        </is>
      </c>
      <c r="G3" s="4" t="inlineStr">
        <is>
          <t>Borrador del Entregable 1 en el Drive; Borrador del Entregable 1 en el Drive; Borrador del Entregable 1 en el Drive</t>
        </is>
      </c>
      <c r="H3" s="4" t="inlineStr">
        <is>
          <t>Sprint_01/</t>
        </is>
      </c>
    </row>
    <row r="4">
      <c r="B4" s="2" t="n">
        <v>46297</v>
      </c>
      <c r="C4" s="3">
        <f>CHOOSE(WEEKDAY(B4,2),"lunes","martes","miércoles","jueves","viernes","sábado","domingo")</f>
        <v/>
      </c>
      <c r="D4" s="3" t="n">
        <v>12</v>
      </c>
      <c r="E4" s="4" t="inlineStr">
        <is>
          <t>Matriz del ciclo de vida (SDLC) aplicada al proyecto</t>
        </is>
      </c>
      <c r="F4" s="4" t="inlineStr">
        <is>
          <t>Matriz SDLC (parte 1); Matriz SDLC (parte 2); Diagrama del SDLC</t>
        </is>
      </c>
      <c r="G4" s="4" t="inlineStr">
        <is>
          <t>Matriz en el borrador del Entregable 1; Matriz en el borrador del Entregable 1; Imagen del diagrama en el Drive</t>
        </is>
      </c>
      <c r="H4" s="4" t="inlineStr">
        <is>
          <t>Sprint_01/</t>
        </is>
      </c>
    </row>
    <row r="5">
      <c r="B5" s="5" t="n">
        <v>46298</v>
      </c>
      <c r="C5" s="6">
        <f>CHOOSE(WEEKDAY(B5,2),"lunes","martes","miércoles","jueves","viernes","sábado","domingo")</f>
        <v/>
      </c>
      <c r="D5" s="6" t="n">
        <v>0</v>
      </c>
      <c r="E5" s="7" t="n"/>
      <c r="F5" s="7" t="n"/>
      <c r="G5" s="7" t="n"/>
      <c r="H5" s="7" t="n"/>
    </row>
    <row r="6">
      <c r="B6" s="5" t="n">
        <v>46299</v>
      </c>
      <c r="C6" s="6">
        <f>CHOOSE(WEEKDAY(B6,2),"lunes","martes","miércoles","jueves","viernes","sábado","domingo")</f>
        <v/>
      </c>
      <c r="D6" s="6" t="n">
        <v>0</v>
      </c>
      <c r="E6" s="7" t="n"/>
      <c r="F6" s="7" t="n"/>
      <c r="G6" s="7" t="n"/>
      <c r="H6" s="7" t="n"/>
    </row>
    <row r="7">
      <c r="B7" s="2" t="n">
        <v>46300</v>
      </c>
      <c r="C7" s="3">
        <f>CHOOSE(WEEKDAY(B7,2),"lunes","martes","miércoles","jueves","viernes","sábado","domingo")</f>
        <v/>
      </c>
      <c r="D7" s="3" t="n">
        <v>12</v>
      </c>
      <c r="E7" s="4" t="inlineStr">
        <is>
          <t>Relación necesidad → requisito → artefacto</t>
        </is>
      </c>
      <c r="F7" s="4" t="inlineStr">
        <is>
          <t>Filas 1 y 2 de la tabla; Filas 3 y 4 de la tabla; Fila 5 y tabla revisada</t>
        </is>
      </c>
      <c r="G7" s="4" t="inlineStr">
        <is>
          <t>Tabla en el borrador del Entregable 1; Tabla en el borrador del Entregable 1; Tabla en el borrador del Entregable 1</t>
        </is>
      </c>
      <c r="H7" s="4" t="inlineStr">
        <is>
          <t>Sprint_01/</t>
        </is>
      </c>
    </row>
    <row r="8">
      <c r="B8" s="8" t="n">
        <v>46301</v>
      </c>
      <c r="C8" s="9">
        <f>CHOOSE(WEEKDAY(B8,2),"lunes","martes","miércoles","jueves","viernes","sábado","domingo")</f>
        <v/>
      </c>
      <c r="D8" s="9" t="n">
        <v>12</v>
      </c>
      <c r="E8" s="10" t="inlineStr">
        <is>
          <t>Revisión y entrega del Entregable 1 (Propuesta de SI) – cierre del sprint 1</t>
        </is>
      </c>
      <c r="F8" s="10" t="inlineStr">
        <is>
          <t>Entregable 1 entregado; Entregable 1 revisado; PDF final</t>
        </is>
      </c>
      <c r="G8" s="10" t="inlineStr">
        <is>
          <t>PDF del Entregable 1 en 00_Entregables y constancia de entrega; Comentarios resueltos en el documento; PDF del Entregable 1 en el Drive</t>
        </is>
      </c>
      <c r="H8" s="10" t="inlineStr">
        <is>
          <t>00_Entregables/</t>
        </is>
      </c>
    </row>
    <row r="9">
      <c r="B9" s="2" t="n">
        <v>46302</v>
      </c>
      <c r="C9" s="3">
        <f>CHOOSE(WEEKDAY(B9,2),"lunes","martes","miércoles","jueves","viernes","sábado","domingo")</f>
        <v/>
      </c>
      <c r="D9" s="3" t="n">
        <v>12</v>
      </c>
      <c r="E9" s="4" t="inlineStr">
        <is>
          <t>Proceso de negocio actual y propuesto</t>
        </is>
      </c>
      <c r="F9" s="4" t="inlineStr">
        <is>
          <t>Situación actual; Situación propuesta; Jerarquía de procesos</t>
        </is>
      </c>
      <c r="G9" s="4" t="inlineStr">
        <is>
          <t>Borrador del Entregable 2 en el Drive; Borrador del Entregable 2 en el Drive; Tabla en el borrador del Entregable 2</t>
        </is>
      </c>
      <c r="H9" s="4" t="inlineStr">
        <is>
          <t>Sprint_02/</t>
        </is>
      </c>
    </row>
    <row r="10">
      <c r="B10" s="2" t="n">
        <v>46303</v>
      </c>
      <c r="C10" s="3">
        <f>CHOOSE(WEEKDAY(B10,2),"lunes","martes","miércoles","jueves","viernes","sábado","domingo")</f>
        <v/>
      </c>
      <c r="D10" s="3" t="n">
        <v>12</v>
      </c>
      <c r="E10" s="4" t="inlineStr">
        <is>
          <t>Modelo BPMN del proceso en Bizagi</t>
        </is>
      </c>
      <c r="F10" s="4" t="inlineStr">
        <is>
          <t>Modelo BPMN (docente); Modelo BPMN (administrador); Modelo BPMN completo</t>
        </is>
      </c>
      <c r="G10" s="4" t="inlineStr">
        <is>
          <t>Archivo de Bizagi en 01_Modelos/Procesos_BPMN; Archivo de Bizagi en 01_Modelos/Procesos_BPMN; Modelo.png en 01_Modelos/Procesos_BPMN</t>
        </is>
      </c>
      <c r="H10" s="4" t="inlineStr">
        <is>
          <t>01_Modelos/</t>
        </is>
      </c>
    </row>
    <row r="11">
      <c r="B11" s="5" t="n">
        <v>46304</v>
      </c>
      <c r="C11" s="6">
        <f>CHOOSE(WEEKDAY(B11,2),"lunes","martes","miércoles","jueves","viernes","sábado","domingo")</f>
        <v/>
      </c>
      <c r="D11" s="6" t="n">
        <v>0</v>
      </c>
      <c r="E11" s="7" t="inlineStr">
        <is>
          <t>Feriado: Independencia de Guayaquil</t>
        </is>
      </c>
      <c r="F11" s="7" t="n"/>
      <c r="G11" s="7" t="n"/>
      <c r="H11" s="7" t="n"/>
    </row>
    <row r="12">
      <c r="B12" s="5" t="n">
        <v>46305</v>
      </c>
      <c r="C12" s="6">
        <f>CHOOSE(WEEKDAY(B12,2),"lunes","martes","miércoles","jueves","viernes","sábado","domingo")</f>
        <v/>
      </c>
      <c r="D12" s="6" t="n">
        <v>0</v>
      </c>
      <c r="E12" s="7" t="n"/>
      <c r="F12" s="7" t="n"/>
      <c r="G12" s="7" t="n"/>
      <c r="H12" s="7" t="n"/>
    </row>
    <row r="13">
      <c r="B13" s="5" t="n">
        <v>46306</v>
      </c>
      <c r="C13" s="6">
        <f>CHOOSE(WEEKDAY(B13,2),"lunes","martes","miércoles","jueves","viernes","sábado","domingo")</f>
        <v/>
      </c>
      <c r="D13" s="6" t="n">
        <v>0</v>
      </c>
      <c r="E13" s="7" t="n"/>
      <c r="F13" s="7" t="n"/>
      <c r="G13" s="7" t="n"/>
      <c r="H13" s="7" t="n"/>
    </row>
    <row r="14">
      <c r="B14" s="2" t="n">
        <v>46307</v>
      </c>
      <c r="C14" s="3">
        <f>CHOOSE(WEEKDAY(B14,2),"lunes","martes","miércoles","jueves","viernes","sábado","domingo")</f>
        <v/>
      </c>
      <c r="D14" s="3" t="n">
        <v>12</v>
      </c>
      <c r="E14" s="4" t="inlineStr">
        <is>
          <t>Requisitos funcionales (SRS v0.1)</t>
        </is>
      </c>
      <c r="F14" s="4" t="inlineStr">
        <is>
          <t>RF-01 a RF-16; RF-17 a RF-27; RF-28 a RF-37</t>
        </is>
      </c>
      <c r="G14" s="4" t="inlineStr">
        <is>
          <t>SRS v0.1 en 02_Documentos; SRS v0.1 en 02_Documentos; SRS v0.1 en 02_Documentos</t>
        </is>
      </c>
      <c r="H14" s="4" t="inlineStr">
        <is>
          <t>02_Documentos/</t>
        </is>
      </c>
    </row>
    <row r="15">
      <c r="B15" s="2" t="n">
        <v>46308</v>
      </c>
      <c r="C15" s="3">
        <f>CHOOSE(WEEKDAY(B15,2),"lunes","martes","miércoles","jueves","viernes","sábado","domingo")</f>
        <v/>
      </c>
      <c r="D15" s="3" t="n">
        <v>12</v>
      </c>
      <c r="E15" s="4" t="inlineStr">
        <is>
          <t>Requisitos no funcionales y criterios de aceptación</t>
        </is>
      </c>
      <c r="F15" s="4" t="inlineStr">
        <is>
          <t>RNF de exactitud y rendimiento; RNF de seguridad; RNF de uso y criterios de aceptación</t>
        </is>
      </c>
      <c r="G15" s="4" t="inlineStr">
        <is>
          <t>SRS v0.1 en 02_Documentos; SRS v0.1 en 02_Documentos; SRS v0.1 en 02_Documentos</t>
        </is>
      </c>
      <c r="H15" s="4" t="inlineStr">
        <is>
          <t>02_Documentos/</t>
        </is>
      </c>
    </row>
    <row r="16">
      <c r="B16" s="2" t="n">
        <v>46309</v>
      </c>
      <c r="C16" s="3">
        <f>CHOOSE(WEEKDAY(B16,2),"lunes","martes","miércoles","jueves","viernes","sábado","domingo")</f>
        <v/>
      </c>
      <c r="D16" s="3" t="n">
        <v>12</v>
      </c>
      <c r="E16" s="4" t="inlineStr">
        <is>
          <t>Validación del prototipo con el cliente</t>
        </is>
      </c>
      <c r="F16" s="4" t="inlineStr">
        <is>
          <t>Prototipo presentado; Lista de observaciones; Prototipo v2</t>
        </is>
      </c>
      <c r="G16" s="4" t="inlineStr">
        <is>
          <t>Capturas o grabación de la reunión; Documento de observaciones en el Drive; Capturas del prototipo v2 en el Drive</t>
        </is>
      </c>
      <c r="H16" s="4" t="inlineStr">
        <is>
          <t>Sprint_02/</t>
        </is>
      </c>
    </row>
    <row r="17">
      <c r="B17" s="2" t="n">
        <v>46310</v>
      </c>
      <c r="C17" s="3">
        <f>CHOOSE(WEEKDAY(B17,2),"lunes","martes","miércoles","jueves","viernes","sábado","domingo")</f>
        <v/>
      </c>
      <c r="D17" s="3" t="n">
        <v>12</v>
      </c>
      <c r="E17" s="4" t="inlineStr">
        <is>
          <t>Taller de vulnerabilidades y riesgos</t>
        </is>
      </c>
      <c r="F17" s="4" t="inlineStr">
        <is>
          <t>Tabla de vulnerabilidades; Análisis de riesgos; Política de seguridad</t>
        </is>
      </c>
      <c r="G17" s="4" t="inlineStr">
        <is>
          <t>Taller en el Drive; Taller en el Drive; Taller en el Drive</t>
        </is>
      </c>
      <c r="H17" s="4" t="inlineStr">
        <is>
          <t>01_Modelos/</t>
        </is>
      </c>
    </row>
    <row r="18">
      <c r="B18" s="2" t="n">
        <v>46311</v>
      </c>
      <c r="C18" s="3">
        <f>CHOOSE(WEEKDAY(B18,2),"lunes","martes","miércoles","jueves","viernes","sábado","domingo")</f>
        <v/>
      </c>
      <c r="D18" s="3" t="n">
        <v>12</v>
      </c>
      <c r="E18" s="4" t="inlineStr">
        <is>
          <t>Objetivos, alcance y fuera de alcance</t>
        </is>
      </c>
      <c r="F18" s="4" t="inlineStr">
        <is>
          <t>Objetivos del proyecto; Alcance; Fuera de alcance e innovación</t>
        </is>
      </c>
      <c r="G18" s="4" t="inlineStr">
        <is>
          <t>Borrador del Entregable 2; Borrador del Entregable 2; Borrador del Entregable 2</t>
        </is>
      </c>
      <c r="H18" s="4" t="inlineStr">
        <is>
          <t>Sprint_02/</t>
        </is>
      </c>
    </row>
    <row r="19">
      <c r="B19" s="5" t="n">
        <v>46312</v>
      </c>
      <c r="C19" s="6">
        <f>CHOOSE(WEEKDAY(B19,2),"lunes","martes","miércoles","jueves","viernes","sábado","domingo")</f>
        <v/>
      </c>
      <c r="D19" s="6" t="n">
        <v>0</v>
      </c>
      <c r="E19" s="7" t="n"/>
      <c r="F19" s="7" t="n"/>
      <c r="G19" s="7" t="n"/>
      <c r="H19" s="7" t="n"/>
    </row>
    <row r="20">
      <c r="B20" s="5" t="n">
        <v>46313</v>
      </c>
      <c r="C20" s="6">
        <f>CHOOSE(WEEKDAY(B20,2),"lunes","martes","miércoles","jueves","viernes","sábado","domingo")</f>
        <v/>
      </c>
      <c r="D20" s="6" t="n">
        <v>0</v>
      </c>
      <c r="E20" s="7" t="n"/>
      <c r="F20" s="7" t="n"/>
      <c r="G20" s="7" t="n"/>
      <c r="H20" s="7" t="n"/>
    </row>
    <row r="21">
      <c r="B21" s="2" t="n">
        <v>46314</v>
      </c>
      <c r="C21" s="3">
        <f>CHOOSE(WEEKDAY(B21,2),"lunes","martes","miércoles","jueves","viernes","sábado","domingo")</f>
        <v/>
      </c>
      <c r="D21" s="3" t="n">
        <v>12</v>
      </c>
      <c r="E21" s="4" t="inlineStr">
        <is>
          <t>Stakeholders, usuarios y actores, y casos de uso</t>
        </is>
      </c>
      <c r="F21" s="4" t="inlineStr">
        <is>
          <t>Matriz de stakeholders; Usuarios y actores; Diagrama de casos de uso</t>
        </is>
      </c>
      <c r="G21" s="4" t="inlineStr">
        <is>
          <t>Tabla en el borrador del Entregable 2; Tabla en el borrador del Entregable 2; Imagen en 01_Modelos/Casos_de_uso</t>
        </is>
      </c>
      <c r="H21" s="4" t="inlineStr">
        <is>
          <t>Sprint_02/</t>
        </is>
      </c>
    </row>
    <row r="22">
      <c r="B22" s="8" t="n">
        <v>46315</v>
      </c>
      <c r="C22" s="9">
        <f>CHOOSE(WEEKDAY(B22,2),"lunes","martes","miércoles","jueves","viernes","sábado","domingo")</f>
        <v/>
      </c>
      <c r="D22" s="9" t="n">
        <v>12</v>
      </c>
      <c r="E22" s="10" t="inlineStr">
        <is>
          <t>Revisión y entrega del Entregable 2 (Procesos e involucrados) – cierre del sprint 2</t>
        </is>
      </c>
      <c r="F22" s="10" t="inlineStr">
        <is>
          <t>Entregable 2 entregado; Entregable 2 revisado; PDF final</t>
        </is>
      </c>
      <c r="G22" s="10" t="inlineStr">
        <is>
          <t>PDF del Entregable 2 en 00_Entregables y constancia de entrega; Comentarios resueltos en el documento; PDF del Entregable 2 en el Drive</t>
        </is>
      </c>
      <c r="H22" s="10" t="inlineStr">
        <is>
          <t>00_Entregables/</t>
        </is>
      </c>
    </row>
    <row r="23">
      <c r="B23" s="2" t="n">
        <v>46316</v>
      </c>
      <c r="C23" s="3">
        <f>CHOOSE(WEEKDAY(B23,2),"lunes","martes","miércoles","jueves","viernes","sábado","domingo")</f>
        <v/>
      </c>
      <c r="D23" s="3" t="n">
        <v>12</v>
      </c>
      <c r="E23" s="4" t="inlineStr">
        <is>
          <t>Configuración de GitHub y Product Backlog en GitHub Projects</t>
        </is>
      </c>
      <c r="F23" s="4" t="inlineStr">
        <is>
          <t>Organización y repositorio con ramas y CODEOWNERS; Ramas protegidas y secretos configurados; Product Backlog</t>
        </is>
      </c>
      <c r="G23" s="4" t="inlineStr">
        <is>
          <t>Captura de los miembros de la organización con rol Owner, enlace al repositorio y captura de las ramas (git branch -a); Capturas de las reglas y de la lista de secretos (sin valores); Captura del tablero de GitHub Projects</t>
        </is>
      </c>
      <c r="H23" s="4" t="inlineStr">
        <is>
          <t>Sprint_03/</t>
        </is>
      </c>
    </row>
    <row r="24">
      <c r="B24" s="2" t="n">
        <v>46317</v>
      </c>
      <c r="C24" s="3">
        <f>CHOOSE(WEEKDAY(B24,2),"lunes","martes","miércoles","jueves","viernes","sábado","domingo")</f>
        <v/>
      </c>
      <c r="D24" s="3" t="n">
        <v>12</v>
      </c>
      <c r="E24" s="4" t="inlineStr">
        <is>
          <t>Definición de tecnologías y entrega del Entregable 3</t>
        </is>
      </c>
      <c r="F24" s="4" t="inlineStr">
        <is>
          <t>Informe de tecnologías y estructura de carpetas; Prototipo anonimizado; Entregable 3 entregado</t>
        </is>
      </c>
      <c r="G24" s="4" t="inlineStr">
        <is>
          <t>docs/arquitectura/seleccion_tecnologias.md y commit en dev; Commit en dev y salida de 'gitleaks detect' sin hallazgos; PDF del Entregable 3 en 00_Entregables y constancia de entrega</t>
        </is>
      </c>
      <c r="H24" s="4" t="inlineStr">
        <is>
          <t>Sprint_03/</t>
        </is>
      </c>
    </row>
    <row r="25">
      <c r="B25" s="2" t="n">
        <v>46318</v>
      </c>
      <c r="C25" s="3">
        <f>CHOOSE(WEEKDAY(B25,2),"lunes","martes","miércoles","jueves","viernes","sábado","domingo")</f>
        <v/>
      </c>
      <c r="D25" s="3" t="n">
        <v>12</v>
      </c>
      <c r="E25" s="4" t="inlineStr">
        <is>
          <t>Diseño de arquitectura, datos y amenazas</t>
        </is>
      </c>
      <c r="F25" s="4" t="inlineStr">
        <is>
          <t>Modelo de datos v1; Modelo de amenazas; Arquitectura y diseño offline</t>
        </is>
      </c>
      <c r="G25" s="4" t="inlineStr">
        <is>
          <t>docs/arquitectura/modelo_datos.md con diagrama Mermaid renderizado en GitHub; docs/seguridad/modelo_amenazas.md en el repositorio; Diagramas en docs/arquitectura/ renderizados en GitHub</t>
        </is>
      </c>
      <c r="H25" s="4" t="inlineStr">
        <is>
          <t>01_Modelos/</t>
        </is>
      </c>
    </row>
    <row r="26">
      <c r="B26" s="5" t="n">
        <v>46319</v>
      </c>
      <c r="C26" s="6">
        <f>CHOOSE(WEEKDAY(B26,2),"lunes","martes","miércoles","jueves","viernes","sábado","domingo")</f>
        <v/>
      </c>
      <c r="D26" s="6" t="n">
        <v>0</v>
      </c>
      <c r="E26" s="7" t="n"/>
      <c r="F26" s="7" t="n"/>
      <c r="G26" s="7" t="n"/>
      <c r="H26" s="7" t="n"/>
    </row>
    <row r="27">
      <c r="B27" s="5" t="n">
        <v>46320</v>
      </c>
      <c r="C27" s="6">
        <f>CHOOSE(WEEKDAY(B27,2),"lunes","martes","miércoles","jueves","viernes","sábado","domingo")</f>
        <v/>
      </c>
      <c r="D27" s="6" t="n">
        <v>0</v>
      </c>
      <c r="E27" s="7" t="n"/>
      <c r="F27" s="7" t="n"/>
      <c r="G27" s="7" t="n"/>
      <c r="H27" s="7" t="n"/>
    </row>
    <row r="28">
      <c r="B28" s="2" t="n">
        <v>46321</v>
      </c>
      <c r="C28" s="3">
        <f>CHOOSE(WEEKDAY(B28,2),"lunes","martes","miércoles","jueves","viernes","sábado","domingo")</f>
        <v/>
      </c>
      <c r="D28" s="3" t="n">
        <v>12</v>
      </c>
      <c r="E28" s="4" t="inlineStr">
        <is>
          <t>CI básico: secretos y compilación con avisos en Telegram</t>
        </is>
      </c>
      <c r="F28" s="4" t="inlineStr">
        <is>
          <t>.github/workflows/ci.yml v0; Paso 'Secretos' en el CI; Notificador de Telegram v0</t>
        </is>
      </c>
      <c r="G28" s="4" t="inlineStr">
        <is>
          <t>Ejecución exitosa en GitHub Actions; Log del paso 'Secretos' en GitHub Actions; Captura del mensaje de progreso editado en el chat de Telegram</t>
        </is>
      </c>
      <c r="H28" s="4" t="inlineStr">
        <is>
          <t>Sprint_03/</t>
        </is>
      </c>
    </row>
    <row r="29">
      <c r="B29" s="2" t="n">
        <v>46322</v>
      </c>
      <c r="C29" s="3">
        <f>CHOOSE(WEEKDAY(B29,2),"lunes","martes","miércoles","jueves","viernes","sábado","domingo")</f>
        <v/>
      </c>
      <c r="D29" s="3" t="n">
        <v>12</v>
      </c>
      <c r="E29" s="4" t="inlineStr">
        <is>
          <t>Esqueletos de la API y de la PWA</t>
        </is>
      </c>
      <c r="F29" s="4" t="inlineStr">
        <is>
          <t>API esqueleto; Prueba negativa del CI; PWA esqueleto</t>
        </is>
      </c>
      <c r="G29" s="4" t="inlineStr">
        <is>
          <t>Commit en dev y captura de Swagger UI con /health; Capturas de las ejecuciones fallidas y del aviso de error en Telegram; Commit en dev y captura de la pantalla inicial conectada a la API</t>
        </is>
      </c>
      <c r="H29" s="4" t="inlineStr">
        <is>
          <t>Sprint_03/</t>
        </is>
      </c>
    </row>
    <row r="30">
      <c r="B30" s="2" t="n">
        <v>46323</v>
      </c>
      <c r="C30" s="3">
        <f>CHOOSE(WEEKDAY(B30,2),"lunes","martes","miércoles","jueves","viernes","sábado","domingo")</f>
        <v/>
      </c>
      <c r="D30" s="3" t="n">
        <v>12</v>
      </c>
      <c r="E30" s="4" t="inlineStr">
        <is>
          <t>Base de datos, etapa de pruebas y estructura de la PWA</t>
        </is>
      </c>
      <c r="F30" s="4" t="inlineStr">
        <is>
          <t>Esquema y migración inicial; Paso 'Pruebas' en el CI; Layout de la PWA</t>
        </is>
      </c>
      <c r="G30" s="4" t="inlineStr">
        <is>
          <t>Commit en dev y salida de 'prisma migrate deploy' en el contenedor; Log del paso 'Pruebas' con el reporte de cobertura; Capturas en computadora y en celular</t>
        </is>
      </c>
      <c r="H30" s="4" t="inlineStr">
        <is>
          <t>Sprint_03/</t>
        </is>
      </c>
    </row>
    <row r="31">
      <c r="B31" s="2" t="n">
        <v>46324</v>
      </c>
      <c r="C31" s="3">
        <f>CHOOSE(WEEKDAY(B31,2),"lunes","martes","miércoles","jueves","viernes","sábado","domingo")</f>
        <v/>
      </c>
      <c r="D31" s="3" t="n">
        <v>12</v>
      </c>
      <c r="E31" s="4" t="inlineStr">
        <is>
          <t>Análisis de dependencias, calidad de código y contenedores</t>
        </is>
      </c>
      <c r="F31" s="4" t="inlineStr">
        <is>
          <t>Dockerfile de la API; Pasos 'Dependencias' y 'SonarQube' en el CI; Dockerfile de la web</t>
        </is>
      </c>
      <c r="G31" s="4" t="inlineStr">
        <is>
          <t>Imagen construida localmente y en el CI; Log de Trivy y captura del quality gate en SonarQube Cloud; Captura de las cabeceras de respuesta en el navegador</t>
        </is>
      </c>
      <c r="H31" s="4" t="inlineStr">
        <is>
          <t>Sprint_03/</t>
        </is>
      </c>
    </row>
    <row r="32">
      <c r="B32" s="8" t="n">
        <v>46325</v>
      </c>
      <c r="C32" s="9">
        <f>CHOOSE(WEEKDAY(B32,2),"lunes","martes","miércoles","jueves","viernes","sábado","domingo")</f>
        <v/>
      </c>
      <c r="D32" s="9" t="n">
        <v>12</v>
      </c>
      <c r="E32" s="10" t="inlineStr">
        <is>
          <t>Integración, demostración e informe del sprint 3</t>
        </is>
      </c>
      <c r="F32" s="10" t="inlineStr">
        <is>
          <t>docker-compose.yml y PR dev → test; Checklist de seguridad del CI; Informe del sprint 3</t>
        </is>
      </c>
      <c r="G32" s="10" t="inlineStr">
        <is>
          <t>PR unido a test con el CI en verde y captura de 'docker compose ps'; Checklist en docs/sprints/sprint3.md; docs/sprints/sprint3.md y capturas de la demostración</t>
        </is>
      </c>
      <c r="H32" s="10" t="inlineStr">
        <is>
          <t>Sprint_03/</t>
        </is>
      </c>
    </row>
    <row r="33">
      <c r="B33" s="5" t="n">
        <v>46326</v>
      </c>
      <c r="C33" s="6">
        <f>CHOOSE(WEEKDAY(B33,2),"lunes","martes","miércoles","jueves","viernes","sábado","domingo")</f>
        <v/>
      </c>
      <c r="D33" s="6" t="n">
        <v>0</v>
      </c>
      <c r="E33" s="7" t="n"/>
      <c r="F33" s="7" t="n"/>
      <c r="G33" s="7" t="n"/>
      <c r="H33" s="7" t="n"/>
    </row>
    <row r="34">
      <c r="B34" s="5" t="n">
        <v>46327</v>
      </c>
      <c r="C34" s="6">
        <f>CHOOSE(WEEKDAY(B34,2),"lunes","martes","miércoles","jueves","viernes","sábado","domingo")</f>
        <v/>
      </c>
      <c r="D34" s="6" t="n">
        <v>0</v>
      </c>
      <c r="E34" s="7" t="n"/>
      <c r="F34" s="7" t="n"/>
      <c r="G34" s="7" t="n"/>
      <c r="H34" s="7" t="n"/>
    </row>
    <row r="35">
      <c r="B35" s="5" t="n">
        <v>46328</v>
      </c>
      <c r="C35" s="6">
        <f>CHOOSE(WEEKDAY(B35,2),"lunes","martes","miércoles","jueves","viernes","sábado","domingo")</f>
        <v/>
      </c>
      <c r="D35" s="6" t="n">
        <v>0</v>
      </c>
      <c r="E35" s="7" t="inlineStr">
        <is>
          <t>Feriado: Día de los Difuntos</t>
        </is>
      </c>
      <c r="F35" s="7" t="n"/>
      <c r="G35" s="7" t="n"/>
      <c r="H35" s="7" t="n"/>
    </row>
    <row r="36">
      <c r="B36" s="5" t="n">
        <v>46329</v>
      </c>
      <c r="C36" s="6">
        <f>CHOOSE(WEEKDAY(B36,2),"lunes","martes","miércoles","jueves","viernes","sábado","domingo")</f>
        <v/>
      </c>
      <c r="D36" s="6" t="n">
        <v>0</v>
      </c>
      <c r="E36" s="7" t="inlineStr">
        <is>
          <t>Feriado: Independencia de Cuenca</t>
        </is>
      </c>
      <c r="F36" s="7" t="n"/>
      <c r="G36" s="7" t="n"/>
      <c r="H36" s="7" t="n"/>
    </row>
    <row r="37">
      <c r="B37" s="2" t="n">
        <v>46330</v>
      </c>
      <c r="C37" s="3">
        <f>CHOOSE(WEEKDAY(B37,2),"lunes","martes","miércoles","jueves","viernes","sábado","domingo")</f>
        <v/>
      </c>
      <c r="D37" s="3" t="n">
        <v>12</v>
      </c>
      <c r="E37" s="4" t="inlineStr">
        <is>
          <t>Construcción y escaneo de imágenes en el CI</t>
        </is>
      </c>
      <c r="F37" s="4" t="inlineStr">
        <is>
          <t>Paso 'Imagen' en el CI; Escaneo de imágenes y SBOM; Notificador de Telegram v1</t>
        </is>
      </c>
      <c r="G37" s="4" t="inlineStr">
        <is>
          <t>Log del paso 'Imagen' en GitHub Actions; SARIF de Trivy y artefacto sbom.json en la ejecución; Captura del mensaje final de una ejecución completa</t>
        </is>
      </c>
      <c r="H37" s="4" t="inlineStr">
        <is>
          <t>Sprint_04/</t>
        </is>
      </c>
    </row>
    <row r="38">
      <c r="B38" s="2" t="n">
        <v>46331</v>
      </c>
      <c r="C38" s="3">
        <f>CHOOSE(WEEKDAY(B38,2),"lunes","martes","miércoles","jueves","viernes","sábado","domingo")</f>
        <v/>
      </c>
      <c r="D38" s="3" t="n">
        <v>12</v>
      </c>
      <c r="E38" s="4" t="inlineStr">
        <is>
          <t>Autenticación y roles (RF-01, RF-03)</t>
        </is>
      </c>
      <c r="F38" s="4" t="inlineStr">
        <is>
          <t>Módulo de autenticación; Pruebas de autorización; Pantallas de acceso</t>
        </is>
      </c>
      <c r="G38" s="4" t="inlineStr">
        <is>
          <t>Pruebas Jest y petición con y sin token (401 / 200); Reporte de Jest en el CI con los casos negativos; Capturas del flujo de primer ingreso</t>
        </is>
      </c>
      <c r="H38" s="4" t="inlineStr">
        <is>
          <t>Sprint_04/</t>
        </is>
      </c>
    </row>
    <row r="39">
      <c r="B39" s="2" t="n">
        <v>46332</v>
      </c>
      <c r="C39" s="3">
        <f>CHOOSE(WEEKDAY(B39,2),"lunes","martes","miércoles","jueves","viernes","sábado","domingo")</f>
        <v/>
      </c>
      <c r="D39" s="3" t="n">
        <v>12</v>
      </c>
      <c r="E39" s="4" t="inlineStr">
        <is>
          <t>Generación de usuarios, sesión y auditoría (RF-02)</t>
        </is>
      </c>
      <c r="F39" s="4" t="inlineStr">
        <is>
          <t>Servicio de usuarios; Auditoría de accesos; Sesión y menú por rol</t>
        </is>
      </c>
      <c r="G39" s="4" t="inlineStr">
        <is>
          <t>Pruebas unitarias con nombres repetidos; Consulta de la tabla de auditoría con inicios de sesión; Capturas del menú de cada rol</t>
        </is>
      </c>
      <c r="H39" s="4" t="inlineStr">
        <is>
          <t>Sprint_04/</t>
        </is>
      </c>
    </row>
    <row r="40">
      <c r="B40" s="5" t="n">
        <v>46333</v>
      </c>
      <c r="C40" s="6">
        <f>CHOOSE(WEEKDAY(B40,2),"lunes","martes","miércoles","jueves","viernes","sábado","domingo")</f>
        <v/>
      </c>
      <c r="D40" s="6" t="n">
        <v>0</v>
      </c>
      <c r="E40" s="7" t="n"/>
      <c r="F40" s="7" t="n"/>
      <c r="G40" s="7" t="n"/>
      <c r="H40" s="7" t="n"/>
    </row>
    <row r="41">
      <c r="B41" s="5" t="n">
        <v>46334</v>
      </c>
      <c r="C41" s="6">
        <f>CHOOSE(WEEKDAY(B41,2),"lunes","martes","miércoles","jueves","viernes","sábado","domingo")</f>
        <v/>
      </c>
      <c r="D41" s="6" t="n">
        <v>0</v>
      </c>
      <c r="E41" s="7" t="n"/>
      <c r="F41" s="7" t="n"/>
      <c r="G41" s="7" t="n"/>
      <c r="H41" s="7" t="n"/>
    </row>
    <row r="42">
      <c r="B42" s="2" t="n">
        <v>46335</v>
      </c>
      <c r="C42" s="3">
        <f>CHOOSE(WEEKDAY(B42,2),"lunes","martes","miércoles","jueves","viernes","sábado","domingo")</f>
        <v/>
      </c>
      <c r="D42" s="3" t="n">
        <v>12</v>
      </c>
      <c r="E42" s="4" t="inlineStr">
        <is>
          <t>Año lectivo, cursos, paralelos y materias (RF-06, RF-07)</t>
        </is>
      </c>
      <c r="F42" s="4" t="inlineStr">
        <is>
          <t>Endpoints académicos; Pantallas de configuración académica; Pruebas de validación</t>
        </is>
      </c>
      <c r="G42" s="4" t="inlineStr">
        <is>
          <t>Swagger y pruebas Jest; Capturas de las pantallas; Reporte de Jest con los casos negativos</t>
        </is>
      </c>
      <c r="H42" s="4" t="inlineStr">
        <is>
          <t>Sprint_04/</t>
        </is>
      </c>
    </row>
    <row r="43">
      <c r="B43" s="2" t="n">
        <v>46336</v>
      </c>
      <c r="C43" s="3">
        <f>CHOOSE(WEEKDAY(B43,2),"lunes","martes","miércoles","jueves","viernes","sábado","domingo")</f>
        <v/>
      </c>
      <c r="D43" s="3" t="n">
        <v>12</v>
      </c>
      <c r="E43" s="4" t="inlineStr">
        <is>
          <t>Gestión de docentes y asignación de materias (RF-05)</t>
        </is>
      </c>
      <c r="F43" s="4" t="inlineStr">
        <is>
          <t>Pantalla de docentes; Endpoints de docentes; Prueba e2e de docentes</t>
        </is>
      </c>
      <c r="G43" s="4" t="inlineStr">
        <is>
          <t>Capturas de la creación y asignación; Swagger y pruebas Jest; Reporte de Playwright en el CI</t>
        </is>
      </c>
      <c r="H43" s="4" t="inlineStr">
        <is>
          <t>Sprint_04/</t>
        </is>
      </c>
    </row>
    <row r="44">
      <c r="B44" s="2" t="n">
        <v>46337</v>
      </c>
      <c r="C44" s="3">
        <f>CHOOSE(WEEKDAY(B44,2),"lunes","martes","miércoles","jueves","viernes","sábado","domingo")</f>
        <v/>
      </c>
      <c r="D44" s="3" t="n">
        <v>12</v>
      </c>
      <c r="E44" s="4" t="inlineStr">
        <is>
          <t>Matrícula individual y representantes (RF-04, RF-29)</t>
        </is>
      </c>
      <c r="F44" s="4" t="inlineStr">
        <is>
          <t>Endpoints de matrícula; Pruebas de privacidad; Pantalla de matrícula</t>
        </is>
      </c>
      <c r="G44" s="4" t="inlineStr">
        <is>
          <t>Pruebas Jest y Swagger; Reporte de pruebas con respuestas 403; Capturas de una matrícula completa</t>
        </is>
      </c>
      <c r="H44" s="4" t="inlineStr">
        <is>
          <t>Sprint_04/</t>
        </is>
      </c>
    </row>
    <row r="45">
      <c r="B45" s="2" t="n">
        <v>46338</v>
      </c>
      <c r="C45" s="3">
        <f>CHOOSE(WEEKDAY(B45,2),"lunes","martes","miércoles","jueves","viernes","sábado","domingo")</f>
        <v/>
      </c>
      <c r="D45" s="3" t="n">
        <v>12</v>
      </c>
      <c r="E45" s="4" t="inlineStr">
        <is>
          <t>Importación de nóminas desde Excel (RF-04)</t>
        </is>
      </c>
      <c r="F45" s="4" t="inlineStr">
        <is>
          <t>Importador de nóminas; Controles de carga; Pantalla de importación</t>
        </is>
      </c>
      <c r="G45" s="4" t="inlineStr">
        <is>
          <t>Prueba con un archivo de ejemplo ficticio; Prueba que rechaza un archivo no válido; Capturas de la vista previa y de los errores</t>
        </is>
      </c>
      <c r="H45" s="4" t="inlineStr">
        <is>
          <t>Sprint_04/</t>
        </is>
      </c>
    </row>
    <row r="46">
      <c r="B46" s="8" t="n">
        <v>46339</v>
      </c>
      <c r="C46" s="9">
        <f>CHOOSE(WEEKDAY(B46,2),"lunes","martes","miércoles","jueves","viernes","sábado","domingo")</f>
        <v/>
      </c>
      <c r="D46" s="9" t="n">
        <v>12</v>
      </c>
      <c r="E46" s="10" t="inlineStr">
        <is>
          <t>Integración, demostración e informe del sprint 4</t>
        </is>
      </c>
      <c r="F46" s="10" t="inlineStr">
        <is>
          <t>Módulo de usuarios y matrícula; PR del sprint 4; Informe del sprint 4</t>
        </is>
      </c>
      <c r="G46" s="10" t="inlineStr">
        <is>
          <t>Grabación o capturas de la demostración; PR unido a test con el CI en verde; docs/sprints/sprint4.md en el repositorio</t>
        </is>
      </c>
      <c r="H46" s="10" t="inlineStr">
        <is>
          <t>Sprint_04/</t>
        </is>
      </c>
    </row>
    <row r="47">
      <c r="B47" s="5" t="n">
        <v>46340</v>
      </c>
      <c r="C47" s="6">
        <f>CHOOSE(WEEKDAY(B47,2),"lunes","martes","miércoles","jueves","viernes","sábado","domingo")</f>
        <v/>
      </c>
      <c r="D47" s="6" t="n">
        <v>0</v>
      </c>
      <c r="E47" s="7" t="n"/>
      <c r="F47" s="7" t="n"/>
      <c r="G47" s="7" t="n"/>
      <c r="H47" s="7" t="n"/>
    </row>
    <row r="48">
      <c r="B48" s="5" t="n">
        <v>46341</v>
      </c>
      <c r="C48" s="6">
        <f>CHOOSE(WEEKDAY(B48,2),"lunes","martes","miércoles","jueves","viernes","sábado","domingo")</f>
        <v/>
      </c>
      <c r="D48" s="6" t="n">
        <v>0</v>
      </c>
      <c r="E48" s="7" t="n"/>
      <c r="F48" s="7" t="n"/>
      <c r="G48" s="7" t="n"/>
      <c r="H48" s="7" t="n"/>
    </row>
    <row r="49">
      <c r="B49" s="2" t="n">
        <v>46342</v>
      </c>
      <c r="C49" s="3">
        <f>CHOOSE(WEEKDAY(B49,2),"lunes","martes","miércoles","jueves","viernes","sábado","domingo")</f>
        <v/>
      </c>
      <c r="D49" s="3" t="n">
        <v>12</v>
      </c>
      <c r="E49" s="4" t="inlineStr">
        <is>
          <t>Datos de prueba, ambiente de pruebas y pruebas e2e</t>
        </is>
      </c>
      <c r="F49" s="4" t="inlineStr">
        <is>
          <t>Datos de prueba; Ambiente de pruebas; Prueba e2e de login</t>
        </is>
      </c>
      <c r="G49" s="4" t="inlineStr">
        <is>
          <t>Salida del seed y conteo de registros; Ejecución del job de despliegue y URL del ambiente; Reporte de Playwright en el CI</t>
        </is>
      </c>
      <c r="H49" s="4" t="inlineStr">
        <is>
          <t>Sprint_05/</t>
        </is>
      </c>
    </row>
    <row r="50">
      <c r="B50" s="2" t="n">
        <v>46343</v>
      </c>
      <c r="C50" s="3">
        <f>CHOOSE(WEEKDAY(B50,2),"lunes","martes","miércoles","jueves","viernes","sábado","domingo")</f>
        <v/>
      </c>
      <c r="D50" s="3" t="n">
        <v>12</v>
      </c>
      <c r="E50" s="4" t="inlineStr">
        <is>
          <t>Paquete compartido del cálculo de notas</t>
        </is>
      </c>
      <c r="F50" s="4" t="inlineStr">
        <is>
          <t>Paquete de cálculo; Pruebas del cálculo; Cálculo en la interfaz</t>
        </is>
      </c>
      <c r="G50" s="4" t="inlineStr">
        <is>
          <t>Commit en dev con el paquete y su documentación; Reporte de pruebas con todos los casos en verde; Captura del cálculo actualizado al ingresar una nota</t>
        </is>
      </c>
      <c r="H50" s="4" t="inlineStr">
        <is>
          <t>Sprint_05/</t>
        </is>
      </c>
    </row>
    <row r="51">
      <c r="B51" s="2" t="n">
        <v>46344</v>
      </c>
      <c r="C51" s="3">
        <f>CHOOSE(WEEKDAY(B51,2),"lunes","martes","miércoles","jueves","viernes","sábado","domingo")</f>
        <v/>
      </c>
      <c r="D51" s="3" t="n">
        <v>12</v>
      </c>
      <c r="E51" s="4" t="inlineStr">
        <is>
          <t>Registro de aportes y cálculo de notas (RF-17, RF-18)</t>
        </is>
      </c>
      <c r="F51" s="4" t="inlineStr">
        <is>
          <t>Pruebas de exactitud; Endpoints de calificaciones; Libreta de calificaciones</t>
        </is>
      </c>
      <c r="G51" s="4" t="inlineStr">
        <is>
          <t>Reporte con el 100% de coincidencia; Swagger y pruebas Jest; Capturas de la libreta</t>
        </is>
      </c>
      <c r="H51" s="4" t="inlineStr">
        <is>
          <t>Sprint_05/</t>
        </is>
      </c>
    </row>
    <row r="52">
      <c r="B52" s="2" t="n">
        <v>46345</v>
      </c>
      <c r="C52" s="3">
        <f>CHOOSE(WEEKDAY(B52,2),"lunes","martes","miércoles","jueves","viernes","sábado","domingo")</f>
        <v/>
      </c>
      <c r="D52" s="3" t="n">
        <v>12</v>
      </c>
      <c r="E52" s="4" t="inlineStr">
        <is>
          <t>Tareas, pruebas y proyectos (RF-19)</t>
        </is>
      </c>
      <c r="F52" s="4" t="inlineStr">
        <is>
          <t>Endpoints de tareas; Pantallas de tareas; Prueba e2e de tareas</t>
        </is>
      </c>
      <c r="G52" s="4" t="inlineStr">
        <is>
          <t>Pruebas Jest; Capturas; Reporte de Playwright</t>
        </is>
      </c>
      <c r="H52" s="4" t="inlineStr">
        <is>
          <t>Sprint_05/</t>
        </is>
      </c>
    </row>
    <row r="53">
      <c r="B53" s="2" t="n">
        <v>46346</v>
      </c>
      <c r="C53" s="3">
        <f>CHOOSE(WEEKDAY(B53,2),"lunes","martes","miércoles","jueves","viernes","sábado","domingo")</f>
        <v/>
      </c>
      <c r="D53" s="3" t="n">
        <v>12</v>
      </c>
      <c r="E53" s="4" t="inlineStr">
        <is>
          <t>Nota y retroalimentación de tareas (RF-20)</t>
        </is>
      </c>
      <c r="F53" s="4" t="inlineStr">
        <is>
          <t>Vista de tareas del estudiante; Pruebas de acceso a notas; Endpoints de entregas</t>
        </is>
      </c>
      <c r="G53" s="4" t="inlineStr">
        <is>
          <t>Capturas; Reporte de pruebas 403; Pruebas Jest</t>
        </is>
      </c>
      <c r="H53" s="4" t="inlineStr">
        <is>
          <t>Sprint_05/</t>
        </is>
      </c>
    </row>
    <row r="54">
      <c r="B54" s="5" t="n">
        <v>46347</v>
      </c>
      <c r="C54" s="6">
        <f>CHOOSE(WEEKDAY(B54,2),"lunes","martes","miércoles","jueves","viernes","sábado","domingo")</f>
        <v/>
      </c>
      <c r="D54" s="6" t="n">
        <v>0</v>
      </c>
      <c r="E54" s="7" t="n"/>
      <c r="F54" s="7" t="n"/>
      <c r="G54" s="7" t="n"/>
      <c r="H54" s="7" t="n"/>
    </row>
    <row r="55">
      <c r="B55" s="5" t="n">
        <v>46348</v>
      </c>
      <c r="C55" s="6">
        <f>CHOOSE(WEEKDAY(B55,2),"lunes","martes","miércoles","jueves","viernes","sábado","domingo")</f>
        <v/>
      </c>
      <c r="D55" s="6" t="n">
        <v>0</v>
      </c>
      <c r="E55" s="7" t="n"/>
      <c r="F55" s="7" t="n"/>
      <c r="G55" s="7" t="n"/>
      <c r="H55" s="7" t="n"/>
    </row>
    <row r="56">
      <c r="B56" s="2" t="n">
        <v>46349</v>
      </c>
      <c r="C56" s="3">
        <f>CHOOSE(WEEKDAY(B56,2),"lunes","martes","miércoles","jueves","viernes","sábado","domingo")</f>
        <v/>
      </c>
      <c r="D56" s="3" t="n">
        <v>12</v>
      </c>
      <c r="E56" s="4" t="inlineStr">
        <is>
          <t>Asistencia por materia (RF-21)</t>
        </is>
      </c>
      <c r="F56" s="4" t="inlineStr">
        <is>
          <t>Pruebas de asistencia; Endpoints de asistencia; Pantalla de asistencia</t>
        </is>
      </c>
      <c r="G56" s="4" t="inlineStr">
        <is>
          <t>Reporte de Jest; Swagger y pruebas Jest; Capturas en celular</t>
        </is>
      </c>
      <c r="H56" s="4" t="inlineStr">
        <is>
          <t>Sprint_05/</t>
        </is>
      </c>
    </row>
    <row r="57">
      <c r="B57" s="2" t="n">
        <v>46350</v>
      </c>
      <c r="C57" s="3">
        <f>CHOOSE(WEEKDAY(B57,2),"lunes","martes","miércoles","jueves","viernes","sábado","domingo")</f>
        <v/>
      </c>
      <c r="D57" s="3" t="n">
        <v>12</v>
      </c>
      <c r="E57" s="4" t="inlineStr">
        <is>
          <t>Registro de comportamiento (RF-22)</t>
        </is>
      </c>
      <c r="F57" s="4" t="inlineStr">
        <is>
          <t>Endpoints de comportamiento; Pruebas de comportamiento; Pantalla de comportamiento</t>
        </is>
      </c>
      <c r="G57" s="4" t="inlineStr">
        <is>
          <t>Pruebas Jest; Reporte con coincidencia total; Capturas</t>
        </is>
      </c>
      <c r="H57" s="4" t="inlineStr">
        <is>
          <t>Sprint_05/</t>
        </is>
      </c>
    </row>
    <row r="58">
      <c r="B58" s="2" t="n">
        <v>46351</v>
      </c>
      <c r="C58" s="3">
        <f>CHOOSE(WEEKDAY(B58,2),"lunes","martes","miércoles","jueves","viernes","sábado","domingo")</f>
        <v/>
      </c>
      <c r="D58" s="3" t="n">
        <v>12</v>
      </c>
      <c r="E58" s="4" t="inlineStr">
        <is>
          <t>Parámetros del colegio configurables (RNF-10)</t>
        </is>
      </c>
      <c r="F58" s="4" t="inlineStr">
        <is>
          <t>Pantalla de parámetros; Endpoints de parámetros; Pruebas de parámetros</t>
        </is>
      </c>
      <c r="G58" s="4" t="inlineStr">
        <is>
          <t>Capturas; Pruebas Jest; Reporte de pruebas</t>
        </is>
      </c>
      <c r="H58" s="4" t="inlineStr">
        <is>
          <t>Sprint_05/</t>
        </is>
      </c>
    </row>
    <row r="59">
      <c r="B59" s="2" t="n">
        <v>46352</v>
      </c>
      <c r="C59" s="3">
        <f>CHOOSE(WEEKDAY(B59,2),"lunes","martes","miércoles","jueves","viernes","sábado","domingo")</f>
        <v/>
      </c>
      <c r="D59" s="3" t="n">
        <v>12</v>
      </c>
      <c r="E59" s="4" t="inlineStr">
        <is>
          <t>Trazabilidad de cambios en notas (RNF-09)</t>
        </is>
      </c>
      <c r="F59" s="4" t="inlineStr">
        <is>
          <t>Auditoría de notas; Pruebas de auditoría; Historial de notas</t>
        </is>
      </c>
      <c r="G59" s="4" t="inlineStr">
        <is>
          <t>Consulta de la auditoría; Reporte de pruebas; Captura del historial</t>
        </is>
      </c>
      <c r="H59" s="4" t="inlineStr">
        <is>
          <t>Sprint_05/</t>
        </is>
      </c>
    </row>
    <row r="60">
      <c r="B60" s="8" t="n">
        <v>46353</v>
      </c>
      <c r="C60" s="9">
        <f>CHOOSE(WEEKDAY(B60,2),"lunes","martes","miércoles","jueves","viernes","sábado","domingo")</f>
        <v/>
      </c>
      <c r="D60" s="9" t="n">
        <v>12</v>
      </c>
      <c r="E60" s="10" t="inlineStr">
        <is>
          <t>Integración, demostración e informe del sprint 5</t>
        </is>
      </c>
      <c r="F60" s="10" t="inlineStr">
        <is>
          <t>Informe del sprint 5; PR del sprint 5; Módulo de calificaciones</t>
        </is>
      </c>
      <c r="G60" s="10" t="inlineStr">
        <is>
          <t>docs/sprints/sprint5.md en el repositorio; PR unido a test con el CI en verde; Grabación o capturas de la demostración</t>
        </is>
      </c>
      <c r="H60" s="10" t="inlineStr">
        <is>
          <t>Sprint_05/</t>
        </is>
      </c>
    </row>
    <row r="61">
      <c r="B61" s="5" t="n">
        <v>46354</v>
      </c>
      <c r="C61" s="6">
        <f>CHOOSE(WEEKDAY(B61,2),"lunes","martes","miércoles","jueves","viernes","sábado","domingo")</f>
        <v/>
      </c>
      <c r="D61" s="6" t="n">
        <v>0</v>
      </c>
      <c r="E61" s="7" t="n"/>
      <c r="F61" s="7" t="n"/>
      <c r="G61" s="7" t="n"/>
      <c r="H61" s="7" t="n"/>
    </row>
    <row r="62">
      <c r="B62" s="5" t="n">
        <v>46355</v>
      </c>
      <c r="C62" s="6">
        <f>CHOOSE(WEEKDAY(B62,2),"lunes","martes","miércoles","jueves","viernes","sábado","domingo")</f>
        <v/>
      </c>
      <c r="D62" s="6" t="n">
        <v>0</v>
      </c>
      <c r="E62" s="7" t="n"/>
      <c r="F62" s="7" t="n"/>
      <c r="G62" s="7" t="n"/>
      <c r="H62" s="7" t="n"/>
    </row>
    <row r="63">
      <c r="B63" s="2" t="n">
        <v>46356</v>
      </c>
      <c r="C63" s="3">
        <f>CHOOSE(WEEKDAY(B63,2),"lunes","martes","miércoles","jueves","viernes","sábado","domingo")</f>
        <v/>
      </c>
      <c r="D63" s="3" t="n">
        <v>12</v>
      </c>
      <c r="E63" s="4" t="inlineStr">
        <is>
          <t>Hoja de estándares DA/AA/PA/NA (RF-23)</t>
        </is>
      </c>
      <c r="F63" s="4" t="inlineStr">
        <is>
          <t>Servicio de estándares; Pantalla de estándares; Pruebas de acceso a reportes</t>
        </is>
      </c>
      <c r="G63" s="4" t="inlineStr">
        <is>
          <t>Pruebas Jest contra la hoja oficial; Capturas; Reporte de pruebas 403</t>
        </is>
      </c>
      <c r="H63" s="4" t="inlineStr">
        <is>
          <t>Sprint_06/</t>
        </is>
      </c>
    </row>
    <row r="64">
      <c r="B64" s="2" t="n">
        <v>46357</v>
      </c>
      <c r="C64" s="3">
        <f>CHOOSE(WEEKDAY(B64,2),"lunes","martes","miércoles","jueves","viernes","sábado","domingo")</f>
        <v/>
      </c>
      <c r="D64" s="3" t="n">
        <v>12</v>
      </c>
      <c r="E64" s="4" t="inlineStr">
        <is>
          <t>Valoración de logros (RF-24)</t>
        </is>
      </c>
      <c r="F64" s="4" t="inlineStr">
        <is>
          <t>Pantalla de valoración de logros; Servicio de valoración de logros; Pruebas de valoración de logros</t>
        </is>
      </c>
      <c r="G64" s="4" t="inlineStr">
        <is>
          <t>Capturas; Pruebas Jest; Reporte con coincidencia total</t>
        </is>
      </c>
      <c r="H64" s="4" t="inlineStr">
        <is>
          <t>Sprint_06/</t>
        </is>
      </c>
    </row>
    <row r="65">
      <c r="B65" s="2" t="n">
        <v>46358</v>
      </c>
      <c r="C65" s="3">
        <f>CHOOSE(WEEKDAY(B65,2),"lunes","martes","miércoles","jueves","viernes","sábado","domingo")</f>
        <v/>
      </c>
      <c r="D65" s="3" t="n">
        <v>12</v>
      </c>
      <c r="E65" s="4" t="inlineStr">
        <is>
          <t>Tablero consolidado del Administrador (RF-25)</t>
        </is>
      </c>
      <c r="F65" s="4" t="inlineStr">
        <is>
          <t>Pruebas de consultas; API del tablero; Tablero del Administrador</t>
        </is>
      </c>
      <c r="G65" s="4" t="inlineStr">
        <is>
          <t>Tiempos medidos antes y después de índices; Pruebas Jest; Capturas del tablero</t>
        </is>
      </c>
      <c r="H65" s="4" t="inlineStr">
        <is>
          <t>Sprint_06/</t>
        </is>
      </c>
    </row>
    <row r="66">
      <c r="B66" s="2" t="n">
        <v>46359</v>
      </c>
      <c r="C66" s="3">
        <f>CHOOSE(WEEKDAY(B66,2),"lunes","martes","miércoles","jueves","viernes","sábado","domingo")</f>
        <v/>
      </c>
      <c r="D66" s="3" t="n">
        <v>12</v>
      </c>
      <c r="E66" s="4" t="inlineStr">
        <is>
          <t>Importación y exportación de notas en Excel (RF-26, RF-27)</t>
        </is>
      </c>
      <c r="F66" s="4" t="inlineStr">
        <is>
          <t>Exportación a Excel; Pruebas de exportación segura; Importador de calificaciones</t>
        </is>
      </c>
      <c r="G66" s="4" t="inlineStr">
        <is>
          <t>Archivo .xlsx generado; Reporte de pruebas; Prueba con archivo ficticio</t>
        </is>
      </c>
      <c r="H66" s="4" t="inlineStr">
        <is>
          <t>Sprint_06/</t>
        </is>
      </c>
    </row>
    <row r="67">
      <c r="B67" s="2" t="n">
        <v>46360</v>
      </c>
      <c r="C67" s="3">
        <f>CHOOSE(WEEKDAY(B67,2),"lunes","martes","miércoles","jueves","viernes","sábado","domingo")</f>
        <v/>
      </c>
      <c r="D67" s="3" t="n">
        <v>12</v>
      </c>
      <c r="E67" s="4" t="inlineStr">
        <is>
          <t>Tablero, horario y calendario del estudiante (RF-28, RF-37)</t>
        </is>
      </c>
      <c r="F67" s="4" t="inlineStr">
        <is>
          <t>Tablero del estudiante; API del tablero y calendario del estudiante; Pantalla de horario</t>
        </is>
      </c>
      <c r="G67" s="4" t="inlineStr">
        <is>
          <t>Captura con una alerta; Pruebas Jest y capturas del calendario; Capturas en celular</t>
        </is>
      </c>
      <c r="H67" s="4" t="inlineStr">
        <is>
          <t>Sprint_06/</t>
        </is>
      </c>
    </row>
    <row r="68">
      <c r="B68" s="5" t="n">
        <v>46361</v>
      </c>
      <c r="C68" s="6">
        <f>CHOOSE(WEEKDAY(B68,2),"lunes","martes","miércoles","jueves","viernes","sábado","domingo")</f>
        <v/>
      </c>
      <c r="D68" s="6" t="n">
        <v>0</v>
      </c>
      <c r="E68" s="7" t="n"/>
      <c r="F68" s="7" t="n"/>
      <c r="G68" s="7" t="n"/>
      <c r="H68" s="7" t="n"/>
    </row>
    <row r="69">
      <c r="B69" s="5" t="n">
        <v>46362</v>
      </c>
      <c r="C69" s="6">
        <f>CHOOSE(WEEKDAY(B69,2),"lunes","martes","miércoles","jueves","viernes","sábado","domingo")</f>
        <v/>
      </c>
      <c r="D69" s="6" t="n">
        <v>0</v>
      </c>
      <c r="E69" s="7" t="n"/>
      <c r="F69" s="7" t="n"/>
      <c r="G69" s="7" t="n"/>
      <c r="H69" s="7" t="n"/>
    </row>
    <row r="70">
      <c r="B70" s="2" t="n">
        <v>46363</v>
      </c>
      <c r="C70" s="3">
        <f>CHOOSE(WEEKDAY(B70,2),"lunes","martes","miércoles","jueves","viernes","sábado","domingo")</f>
        <v/>
      </c>
      <c r="D70" s="3" t="n">
        <v>12</v>
      </c>
      <c r="E70" s="4" t="inlineStr">
        <is>
          <t>Vista del representante: notas y asistencia</t>
        </is>
      </c>
      <c r="F70" s="4" t="inlineStr">
        <is>
          <t>Endpoints y rol del representante; Vista completa del representante; Pruebas de acceso del representante</t>
        </is>
      </c>
      <c r="G70" s="4" t="inlineStr">
        <is>
          <t>Pruebas Jest de acceso; Capturas; Reporte de pruebas 403</t>
        </is>
      </c>
      <c r="H70" s="4" t="inlineStr">
        <is>
          <t>Sprint_06/</t>
        </is>
      </c>
    </row>
    <row r="71">
      <c r="B71" s="8" t="n">
        <v>46364</v>
      </c>
      <c r="C71" s="9">
        <f>CHOOSE(WEEKDAY(B71,2),"lunes","martes","miércoles","jueves","viernes","sábado","domingo")</f>
        <v/>
      </c>
      <c r="D71" s="9" t="n">
        <v>12</v>
      </c>
      <c r="E71" s="10" t="inlineStr">
        <is>
          <t>Integración, demostración e informe del sprint 6</t>
        </is>
      </c>
      <c r="F71" s="10" t="inlineStr">
        <is>
          <t>Reportes y tableros; Informe del sprint 6; PR del sprint 6</t>
        </is>
      </c>
      <c r="G71" s="10" t="inlineStr">
        <is>
          <t>Grabación o capturas de la demostración; docs/sprints/sprint6.md en el repositorio; PR unido a test con el CI en verde</t>
        </is>
      </c>
      <c r="H71" s="10" t="inlineStr">
        <is>
          <t>Sprint_06/</t>
        </is>
      </c>
    </row>
    <row r="72">
      <c r="B72" s="2" t="n">
        <v>46365</v>
      </c>
      <c r="C72" s="3">
        <f>CHOOSE(WEEKDAY(B72,2),"lunes","martes","miércoles","jueves","viernes","sábado","domingo")</f>
        <v/>
      </c>
      <c r="D72" s="3" t="n">
        <v>12</v>
      </c>
      <c r="E72" s="4" t="inlineStr">
        <is>
          <t>Modelo y plantilla de la planificación (RF-09)</t>
        </is>
      </c>
      <c r="F72" s="4" t="inlineStr">
        <is>
          <t>Formulario de planificación (parte 1); Pruebas de validación de la planificación; Endpoints de planificación</t>
        </is>
      </c>
      <c r="G72" s="4" t="inlineStr">
        <is>
          <t>Capturas del formulario; Reporte de Jest con casos negativos; Swagger y pruebas Jest</t>
        </is>
      </c>
      <c r="H72" s="4" t="inlineStr">
        <is>
          <t>Sprint_07/</t>
        </is>
      </c>
    </row>
    <row r="73">
      <c r="B73" s="2" t="n">
        <v>46366</v>
      </c>
      <c r="C73" s="3">
        <f>CHOOSE(WEEKDAY(B73,2),"lunes","martes","miércoles","jueves","viernes","sábado","domingo")</f>
        <v/>
      </c>
      <c r="D73" s="3" t="n">
        <v>12</v>
      </c>
      <c r="E73" s="4" t="inlineStr">
        <is>
          <t>Tabla semanal con actividades ERCA (RF-09)</t>
        </is>
      </c>
      <c r="F73" s="4" t="inlineStr">
        <is>
          <t>Formulario de planificación (parte 2); Pruebas de XSS; Endpoints de semanas</t>
        </is>
      </c>
      <c r="G73" s="4" t="inlineStr">
        <is>
          <t>Capturas de la tabla semanal; Reporte de pruebas con cargas maliciosas neutralizadas; Pruebas Jest</t>
        </is>
      </c>
      <c r="H73" s="4" t="inlineStr">
        <is>
          <t>Sprint_07/</t>
        </is>
      </c>
    </row>
    <row r="74">
      <c r="B74" s="2" t="n">
        <v>46367</v>
      </c>
      <c r="C74" s="3">
        <f>CHOOSE(WEEKDAY(B74,2),"lunes","martes","miércoles","jueves","viernes","sábado","domingo")</f>
        <v/>
      </c>
      <c r="D74" s="3" t="n">
        <v>12</v>
      </c>
      <c r="E74" s="4" t="inlineStr">
        <is>
          <t>Estados de la planificación y envío a revisión (RF-10, RF-11)</t>
        </is>
      </c>
      <c r="F74" s="4" t="inlineStr">
        <is>
          <t>Flujo de estados en la interfaz; Máquina de estados; Pruebas de estados</t>
        </is>
      </c>
      <c r="G74" s="4" t="inlineStr">
        <is>
          <t>Capturas en cada estado; Pruebas Jest de cada transición; Reporte con los casos rechazados</t>
        </is>
      </c>
      <c r="H74" s="4" t="inlineStr">
        <is>
          <t>Sprint_07/</t>
        </is>
      </c>
    </row>
    <row r="75">
      <c r="B75" s="5" t="n">
        <v>46368</v>
      </c>
      <c r="C75" s="6">
        <f>CHOOSE(WEEKDAY(B75,2),"lunes","martes","miércoles","jueves","viernes","sábado","domingo")</f>
        <v/>
      </c>
      <c r="D75" s="6" t="n">
        <v>0</v>
      </c>
      <c r="E75" s="7" t="n"/>
      <c r="F75" s="7" t="n"/>
      <c r="G75" s="7" t="n"/>
      <c r="H75" s="7" t="n"/>
    </row>
    <row r="76">
      <c r="B76" s="5" t="n">
        <v>46369</v>
      </c>
      <c r="C76" s="6">
        <f>CHOOSE(WEEKDAY(B76,2),"lunes","martes","miércoles","jueves","viernes","sábado","domingo")</f>
        <v/>
      </c>
      <c r="D76" s="6" t="n">
        <v>0</v>
      </c>
      <c r="E76" s="7" t="n"/>
      <c r="F76" s="7" t="n"/>
      <c r="G76" s="7" t="n"/>
      <c r="H76" s="7" t="n"/>
    </row>
    <row r="77">
      <c r="B77" s="2" t="n">
        <v>46370</v>
      </c>
      <c r="C77" s="3">
        <f>CHOOSE(WEEKDAY(B77,2),"lunes","martes","miércoles","jueves","viernes","sábado","domingo")</f>
        <v/>
      </c>
      <c r="D77" s="3" t="n">
        <v>12</v>
      </c>
      <c r="E77" s="4" t="inlineStr">
        <is>
          <t>Revisión del Administrador con observaciones (RF-12, RF-13)</t>
        </is>
      </c>
      <c r="F77" s="4" t="inlineStr">
        <is>
          <t>Prueba e2e de revisión; Bandeja de revisión; Endpoints de observaciones</t>
        </is>
      </c>
      <c r="G77" s="4" t="inlineStr">
        <is>
          <t>Reporte de Playwright en el CI; Capturas de la bandeja con pendientes; Pruebas Jest y Swagger</t>
        </is>
      </c>
      <c r="H77" s="4" t="inlineStr">
        <is>
          <t>Sprint_07/</t>
        </is>
      </c>
    </row>
    <row r="78">
      <c r="B78" s="2" t="n">
        <v>46371</v>
      </c>
      <c r="C78" s="3">
        <f>CHOOSE(WEEKDAY(B78,2),"lunes","martes","miércoles","jueves","viernes","sábado","domingo")</f>
        <v/>
      </c>
      <c r="D78" s="3" t="n">
        <v>12</v>
      </c>
      <c r="E78" s="4" t="inlineStr">
        <is>
          <t>Historial y documento único (RF-14, RNF-09)</t>
        </is>
      </c>
      <c r="F78" s="4" t="inlineStr">
        <is>
          <t>Historial de la planificación; Auditoría de planificaciones; Observaciones resaltadas</t>
        </is>
      </c>
      <c r="G78" s="4" t="inlineStr">
        <is>
          <t>Consulta del historial de una planificación; Consulta de la tabla de auditoría; Captura de la vista del docente con observaciones</t>
        </is>
      </c>
      <c r="H78" s="4" t="inlineStr">
        <is>
          <t>Sprint_07/</t>
        </is>
      </c>
    </row>
    <row r="79">
      <c r="B79" s="2" t="n">
        <v>46372</v>
      </c>
      <c r="C79" s="3">
        <f>CHOOSE(WEEKDAY(B79,2),"lunes","martes","miércoles","jueves","viernes","sábado","domingo")</f>
        <v/>
      </c>
      <c r="D79" s="3" t="n">
        <v>12</v>
      </c>
      <c r="E79" s="4" t="inlineStr">
        <is>
          <t>Exportación a Word y PDF con el formato oficial (RF-15)</t>
        </is>
      </c>
      <c r="F79" s="4" t="inlineStr">
        <is>
          <t>Exportación a PDF; Verificación del formato; Exportación a Word</t>
        </is>
      </c>
      <c r="G79" s="4" t="inlineStr">
        <is>
          <t>Archivo PDF generado; Documento generado y captura comparativa; Archivo .docx generado desde la plataforma</t>
        </is>
      </c>
      <c r="H79" s="4" t="inlineStr">
        <is>
          <t>Sprint_07/</t>
        </is>
      </c>
    </row>
    <row r="80">
      <c r="B80" s="2" t="n">
        <v>46373</v>
      </c>
      <c r="C80" s="3">
        <f>CHOOSE(WEEKDAY(B80,2),"lunes","martes","miércoles","jueves","viernes","sábado","domingo")</f>
        <v/>
      </c>
      <c r="D80" s="3" t="n">
        <v>12</v>
      </c>
      <c r="E80" s="4" t="inlineStr">
        <is>
          <t>Calendario a partir de la planificación (RF-16)</t>
        </is>
      </c>
      <c r="F80" s="4" t="inlineStr">
        <is>
          <t>Generador de calendario; Pruebas de acceso al calendario; Vista de calendario</t>
        </is>
      </c>
      <c r="G80" s="4" t="inlineStr">
        <is>
          <t>Pruebas Jest; Reporte de pruebas 403; Capturas del calendario</t>
        </is>
      </c>
      <c r="H80" s="4" t="inlineStr">
        <is>
          <t>Sprint_07/</t>
        </is>
      </c>
    </row>
    <row r="81">
      <c r="B81" s="8" t="n">
        <v>46374</v>
      </c>
      <c r="C81" s="9">
        <f>CHOOSE(WEEKDAY(B81,2),"lunes","martes","miércoles","jueves","viernes","sábado","domingo")</f>
        <v/>
      </c>
      <c r="D81" s="9" t="n">
        <v>12</v>
      </c>
      <c r="E81" s="10" t="inlineStr">
        <is>
          <t>Integración, demostración e informe del sprint 7</t>
        </is>
      </c>
      <c r="F81" s="10" t="inlineStr">
        <is>
          <t>PR del sprint 7; Informe de seguridad del sprint 7; Informe del sprint 7</t>
        </is>
      </c>
      <c r="G81" s="10" t="inlineStr">
        <is>
          <t>PR unido a test con el CI en verde; Sección de seguridad en docs/sprints/sprint7.md; docs/sprints/sprint7.md y grabación de la demostración</t>
        </is>
      </c>
      <c r="H81" s="10" t="inlineStr">
        <is>
          <t>Sprint_07/</t>
        </is>
      </c>
    </row>
    <row r="82">
      <c r="B82" s="5" t="n">
        <v>46375</v>
      </c>
      <c r="C82" s="6">
        <f>CHOOSE(WEEKDAY(B82,2),"lunes","martes","miércoles","jueves","viernes","sábado","domingo")</f>
        <v/>
      </c>
      <c r="D82" s="6" t="n">
        <v>0</v>
      </c>
      <c r="E82" s="7" t="n"/>
      <c r="F82" s="7" t="n"/>
      <c r="G82" s="7" t="n"/>
      <c r="H82" s="7" t="n"/>
    </row>
    <row r="83">
      <c r="B83" s="5" t="n">
        <v>46376</v>
      </c>
      <c r="C83" s="6">
        <f>CHOOSE(WEEKDAY(B83,2),"lunes","martes","miércoles","jueves","viernes","sábado","domingo")</f>
        <v/>
      </c>
      <c r="D83" s="6" t="n">
        <v>0</v>
      </c>
      <c r="E83" s="7" t="n"/>
      <c r="F83" s="7" t="n"/>
      <c r="G83" s="7" t="n"/>
      <c r="H83" s="7" t="n"/>
    </row>
    <row r="84">
      <c r="B84" s="2" t="n">
        <v>46377</v>
      </c>
      <c r="C84" s="3">
        <f>CHOOSE(WEEKDAY(B84,2),"lunes","martes","miércoles","jueves","viernes","sábado","domingo")</f>
        <v/>
      </c>
      <c r="D84" s="3" t="n">
        <v>12</v>
      </c>
      <c r="E84" s="4" t="inlineStr">
        <is>
          <t>Preparación de WhatsApp y consentimiento del representante</t>
        </is>
      </c>
      <c r="F84" s="4" t="inlineStr">
        <is>
          <t>Modelo de notificaciones; Cuenta de WhatsApp de prueba; Pantalla de consentimiento</t>
        </is>
      </c>
      <c r="G84" s="4" t="inlineStr">
        <is>
          <t>Migración aplicada; Captura de la configuración (sin valores); Capturas</t>
        </is>
      </c>
      <c r="H84" s="4" t="inlineStr">
        <is>
          <t>Sprint_08/</t>
        </is>
      </c>
    </row>
    <row r="85">
      <c r="B85" s="2" t="n">
        <v>46378</v>
      </c>
      <c r="C85" s="3">
        <f>CHOOSE(WEEKDAY(B85,2),"lunes","martes","miércoles","jueves","viernes","sábado","domingo")</f>
        <v/>
      </c>
      <c r="D85" s="3" t="n">
        <v>12</v>
      </c>
      <c r="E85" s="4" t="inlineStr">
        <is>
          <t>Adaptador de WhatsApp y plantillas de mensajes (RNF-05)</t>
        </is>
      </c>
      <c r="F85" s="4" t="inlineStr">
        <is>
          <t>Adaptador de WhatsApp; Plantillas de mensajes; Pantalla de contactos del representante</t>
        </is>
      </c>
      <c r="G85" s="4" t="inlineStr">
        <is>
          <t>Pruebas Jest con el proveedor simulado; Plantillas en el repositorio; Capturas de la matrícula con el número y la autorización</t>
        </is>
      </c>
      <c r="H85" s="4" t="inlineStr">
        <is>
          <t>Sprint_08/</t>
        </is>
      </c>
    </row>
    <row r="86">
      <c r="B86" s="2" t="n">
        <v>46379</v>
      </c>
      <c r="C86" s="3">
        <f>CHOOSE(WEEKDAY(B86,2),"lunes","martes","miércoles","jueves","viernes","sábado","domingo")</f>
        <v/>
      </c>
      <c r="D86" s="3" t="n">
        <v>12</v>
      </c>
      <c r="E86" s="4" t="inlineStr">
        <is>
          <t>Avisos automáticos por promedio y faltas (RF-30, RF-31, RF-35)</t>
        </is>
      </c>
      <c r="F86" s="4" t="inlineStr">
        <is>
          <t>Cola de salida; Disparadores de avisos; Prueba real de aviso</t>
        </is>
      </c>
      <c r="G86" s="4" t="inlineStr">
        <is>
          <t>Prueba de envío diferido; Pruebas Jest; Captura del mensaje recibido en WhatsApp</t>
        </is>
      </c>
      <c r="H86" s="4" t="inlineStr">
        <is>
          <t>Sprint_08/</t>
        </is>
      </c>
    </row>
    <row r="87">
      <c r="B87" s="2" t="n">
        <v>46380</v>
      </c>
      <c r="C87" s="3">
        <f>CHOOSE(WEEKDAY(B87,2),"lunes","martes","miércoles","jueves","viernes","sábado","domingo")</f>
        <v/>
      </c>
      <c r="D87" s="3" t="n">
        <v>12</v>
      </c>
      <c r="E87" s="4" t="inlineStr">
        <is>
          <t>Antiduplicados y avisos de tareas (RF-32, RF-34)</t>
        </is>
      </c>
      <c r="F87" s="4" t="inlineStr">
        <is>
          <t>Avisos de tareas; Pruebas de consentimiento; Antiduplicados</t>
        </is>
      </c>
      <c r="G87" s="4" t="inlineStr">
        <is>
          <t>Pruebas Jest; Reporte de pruebas; Pruebas Jest</t>
        </is>
      </c>
      <c r="H87" s="4" t="inlineStr">
        <is>
          <t>Sprint_08/</t>
        </is>
      </c>
    </row>
    <row r="88">
      <c r="B88" s="5" t="n">
        <v>46381</v>
      </c>
      <c r="C88" s="6">
        <f>CHOOSE(WEEKDAY(B88,2),"lunes","martes","miércoles","jueves","viernes","sábado","domingo")</f>
        <v/>
      </c>
      <c r="D88" s="6" t="n">
        <v>0</v>
      </c>
      <c r="E88" s="7" t="inlineStr">
        <is>
          <t>Feriado: Navidad</t>
        </is>
      </c>
      <c r="F88" s="7" t="n"/>
      <c r="G88" s="7" t="n"/>
      <c r="H88" s="7" t="n"/>
    </row>
    <row r="89">
      <c r="B89" s="5" t="n">
        <v>46382</v>
      </c>
      <c r="C89" s="6">
        <f>CHOOSE(WEEKDAY(B89,2),"lunes","martes","miércoles","jueves","viernes","sábado","domingo")</f>
        <v/>
      </c>
      <c r="D89" s="6" t="n">
        <v>0</v>
      </c>
      <c r="E89" s="7" t="n"/>
      <c r="F89" s="7" t="n"/>
      <c r="G89" s="7" t="n"/>
      <c r="H89" s="7" t="n"/>
    </row>
    <row r="90">
      <c r="B90" s="5" t="n">
        <v>46383</v>
      </c>
      <c r="C90" s="6">
        <f>CHOOSE(WEEKDAY(B90,2),"lunes","martes","miércoles","jueves","viernes","sábado","domingo")</f>
        <v/>
      </c>
      <c r="D90" s="6" t="n">
        <v>0</v>
      </c>
      <c r="E90" s="7" t="n"/>
      <c r="F90" s="7" t="n"/>
      <c r="G90" s="7" t="n"/>
      <c r="H90" s="7" t="n"/>
    </row>
    <row r="91">
      <c r="B91" s="2" t="n">
        <v>46384</v>
      </c>
      <c r="C91" s="3">
        <f>CHOOSE(WEEKDAY(B91,2),"lunes","martes","miércoles","jueves","viernes","sábado","domingo")</f>
        <v/>
      </c>
      <c r="D91" s="3" t="n">
        <v>12</v>
      </c>
      <c r="E91" s="4" t="inlineStr">
        <is>
          <t>Historial de notificaciones (RF-33) e integración</t>
        </is>
      </c>
      <c r="F91" s="4" t="inlineStr">
        <is>
          <t>Endpoints de historial; Prueba de aceptación 3; Pantalla de historial</t>
        </is>
      </c>
      <c r="G91" s="4" t="inlineStr">
        <is>
          <t>Pruebas Jest; Reporte de Playwright y captura del historial; Capturas</t>
        </is>
      </c>
      <c r="H91" s="4" t="inlineStr">
        <is>
          <t>Sprint_08/</t>
        </is>
      </c>
    </row>
    <row r="92">
      <c r="B92" s="8" t="n">
        <v>46385</v>
      </c>
      <c r="C92" s="9">
        <f>CHOOSE(WEEKDAY(B92,2),"lunes","martes","miércoles","jueves","viernes","sábado","domingo")</f>
        <v/>
      </c>
      <c r="D92" s="9" t="n">
        <v>12</v>
      </c>
      <c r="E92" s="10" t="inlineStr">
        <is>
          <t>Integración, demostración e informe del sprint 8</t>
        </is>
      </c>
      <c r="F92" s="10" t="inlineStr">
        <is>
          <t>Informe del sprint 8; PR del sprint 8; Notificaciones por WhatsApp</t>
        </is>
      </c>
      <c r="G92" s="10" t="inlineStr">
        <is>
          <t>docs/sprints/sprint8.md en el repositorio; PR unido a test con el CI en verde; Grabación de la demostración</t>
        </is>
      </c>
      <c r="H92" s="10" t="inlineStr">
        <is>
          <t>Sprint_08/</t>
        </is>
      </c>
    </row>
    <row r="93">
      <c r="B93" s="2" t="n">
        <v>46386</v>
      </c>
      <c r="C93" s="3">
        <f>CHOOSE(WEEKDAY(B93,2),"lunes","martes","miércoles","jueves","viernes","sábado","domingo")</f>
        <v/>
      </c>
      <c r="D93" s="3" t="n">
        <v>12</v>
      </c>
      <c r="E93" s="4" t="inlineStr">
        <is>
          <t>Almacenamiento local y service worker (RNF-01)</t>
        </is>
      </c>
      <c r="F93" s="4" t="inlineStr">
        <is>
          <t>Almacenamiento local; Limpieza de datos locales; Service worker</t>
        </is>
      </c>
      <c r="G93" s="4" t="inlineStr">
        <is>
          <t>Captura de IndexedDB en las herramientas del navegador; Prueba con captura antes y después del cierre de sesión; Captura de la app cargando en modo sin conexión</t>
        </is>
      </c>
      <c r="H93" s="4" t="inlineStr">
        <is>
          <t>Sprint_09/</t>
        </is>
      </c>
    </row>
    <row r="94">
      <c r="B94" s="2" t="n">
        <v>46387</v>
      </c>
      <c r="C94" s="3">
        <f>CHOOSE(WEEKDAY(B94,2),"lunes","martes","miércoles","jueves","viernes","sábado","domingo")</f>
        <v/>
      </c>
      <c r="D94" s="3" t="n">
        <v>12</v>
      </c>
      <c r="E94" s="4" t="inlineStr">
        <is>
          <t>Cola de cambios sin conexión</t>
        </is>
      </c>
      <c r="F94" s="4" t="inlineStr">
        <is>
          <t>Cola local de cambios; Endpoint de sincronización; Indicador de conexión</t>
        </is>
      </c>
      <c r="G94" s="4" t="inlineStr">
        <is>
          <t>Pruebas unitarias de la cola; Pruebas Jest con envíos repetidos; Capturas en línea y sin conexión</t>
        </is>
      </c>
      <c r="H94" s="4" t="inlineStr">
        <is>
          <t>Sprint_09/</t>
        </is>
      </c>
    </row>
    <row r="95">
      <c r="B95" s="5" t="n">
        <v>46388</v>
      </c>
      <c r="C95" s="6">
        <f>CHOOSE(WEEKDAY(B95,2),"lunes","martes","miércoles","jueves","viernes","sábado","domingo")</f>
        <v/>
      </c>
      <c r="D95" s="6" t="n">
        <v>0</v>
      </c>
      <c r="E95" s="7" t="inlineStr">
        <is>
          <t>Feriado: Año Nuevo</t>
        </is>
      </c>
      <c r="F95" s="7" t="n"/>
      <c r="G95" s="7" t="n"/>
      <c r="H95" s="7" t="n"/>
    </row>
    <row r="96">
      <c r="B96" s="5" t="n">
        <v>46389</v>
      </c>
      <c r="C96" s="6">
        <f>CHOOSE(WEEKDAY(B96,2),"lunes","martes","miércoles","jueves","viernes","sábado","domingo")</f>
        <v/>
      </c>
      <c r="D96" s="6" t="n">
        <v>0</v>
      </c>
      <c r="E96" s="7" t="n"/>
      <c r="F96" s="7" t="n"/>
      <c r="G96" s="7" t="n"/>
      <c r="H96" s="7" t="n"/>
    </row>
    <row r="97">
      <c r="B97" s="5" t="n">
        <v>46390</v>
      </c>
      <c r="C97" s="6">
        <f>CHOOSE(WEEKDAY(B97,2),"lunes","martes","miércoles","jueves","viernes","sábado","domingo")</f>
        <v/>
      </c>
      <c r="D97" s="6" t="n">
        <v>0</v>
      </c>
      <c r="E97" s="7" t="n"/>
      <c r="F97" s="7" t="n"/>
      <c r="G97" s="7" t="n"/>
      <c r="H97" s="7" t="n"/>
    </row>
    <row r="98">
      <c r="B98" s="2" t="n">
        <v>46391</v>
      </c>
      <c r="C98" s="3">
        <f>CHOOSE(WEEKDAY(B98,2),"lunes","martes","miércoles","jueves","viernes","sábado","domingo")</f>
        <v/>
      </c>
      <c r="D98" s="3" t="n">
        <v>12</v>
      </c>
      <c r="E98" s="4" t="inlineStr">
        <is>
          <t>Sincronización y conflictos</t>
        </is>
      </c>
      <c r="F98" s="4" t="inlineStr">
        <is>
          <t>Pruebas de sincronización; Resolución de conflictos; Sincronización automática</t>
        </is>
      </c>
      <c r="G98" s="4" t="inlineStr">
        <is>
          <t>Reporte de pruebas; Prueba de un conflicto resuelto; Captura de cambios sincronizados</t>
        </is>
      </c>
      <c r="H98" s="4" t="inlineStr">
        <is>
          <t>Sprint_09/</t>
        </is>
      </c>
    </row>
    <row r="99">
      <c r="B99" s="2" t="n">
        <v>46392</v>
      </c>
      <c r="C99" s="3">
        <f>CHOOSE(WEEKDAY(B99,2),"lunes","martes","miércoles","jueves","viernes","sábado","domingo")</f>
        <v/>
      </c>
      <c r="D99" s="3" t="n">
        <v>12</v>
      </c>
      <c r="E99" s="4" t="inlineStr">
        <is>
          <t>Pruebas del modo sin conexión</t>
        </is>
      </c>
      <c r="F99" s="4" t="inlineStr">
        <is>
          <t>Prueba e2e sin conexión; Revisión de datos locales; Prueba en celular</t>
        </is>
      </c>
      <c r="G99" s="4" t="inlineStr">
        <is>
          <t>Reporte de Playwright; Checklist en docs/seguridad/; Grabación en modo avión</t>
        </is>
      </c>
      <c r="H99" s="4" t="inlineStr">
        <is>
          <t>Sprint_09/</t>
        </is>
      </c>
    </row>
    <row r="100">
      <c r="B100" s="2" t="n">
        <v>46393</v>
      </c>
      <c r="C100" s="3">
        <f>CHOOSE(WEEKDAY(B100,2),"lunes","martes","miércoles","jueves","viernes","sábado","domingo")</f>
        <v/>
      </c>
      <c r="D100" s="3" t="n">
        <v>12</v>
      </c>
      <c r="E100" s="4" t="inlineStr">
        <is>
          <t>Integración del trabajo sin conexión y PWA instalable</t>
        </is>
      </c>
      <c r="F100" s="4" t="inlineStr">
        <is>
          <t>Módulo integrado; Ambiente actualizado; PWA instalable</t>
        </is>
      </c>
      <c r="G100" s="4" t="inlineStr">
        <is>
          <t>Ejecución del CI en verde; Ejecución del job de despliegue; Captura del puntaje PWA en Lighthouse</t>
        </is>
      </c>
      <c r="H100" s="4" t="inlineStr">
        <is>
          <t>Sprint_09/</t>
        </is>
      </c>
    </row>
    <row r="101">
      <c r="B101" s="2" t="n">
        <v>46394</v>
      </c>
      <c r="C101" s="3">
        <f>CHOOSE(WEEKDAY(B101,2),"lunes","martes","miércoles","jueves","viernes","sábado","domingo")</f>
        <v/>
      </c>
      <c r="D101" s="3" t="n">
        <v>12</v>
      </c>
      <c r="E101" s="4" t="inlineStr">
        <is>
          <t>Rendimiento con usuarios simultáneos (RNF-06)</t>
        </is>
      </c>
      <c r="F101" s="4" t="inlineStr">
        <is>
          <t>Optimización de la BD; Prueba de carga; Optimización de la PWA</t>
        </is>
      </c>
      <c r="G101" s="4" t="inlineStr">
        <is>
          <t>Tiempos antes y después; Reporte de k6 con el punto de falla; Reporte de Lighthouse</t>
        </is>
      </c>
      <c r="H101" s="4" t="inlineStr">
        <is>
          <t>Sprint_09/</t>
        </is>
      </c>
    </row>
    <row r="102">
      <c r="B102" s="8" t="n">
        <v>46395</v>
      </c>
      <c r="C102" s="9">
        <f>CHOOSE(WEEKDAY(B102,2),"lunes","martes","miércoles","jueves","viernes","sábado","domingo")</f>
        <v/>
      </c>
      <c r="D102" s="9" t="n">
        <v>12</v>
      </c>
      <c r="E102" s="10" t="inlineStr">
        <is>
          <t>Integración, demostración e informe del sprint 9</t>
        </is>
      </c>
      <c r="F102" s="10" t="inlineStr">
        <is>
          <t>PR del sprint 9; Trabajo sin conexión; Informe del sprint 9</t>
        </is>
      </c>
      <c r="G102" s="10" t="inlineStr">
        <is>
          <t>PR unido a test con el CI en verde; Grabación de la demostración; docs/sprints/sprint9.md en el repositorio</t>
        </is>
      </c>
      <c r="H102" s="10" t="inlineStr">
        <is>
          <t>Sprint_09/</t>
        </is>
      </c>
    </row>
    <row r="103">
      <c r="B103" s="5" t="n">
        <v>46396</v>
      </c>
      <c r="C103" s="6">
        <f>CHOOSE(WEEKDAY(B103,2),"lunes","martes","miércoles","jueves","viernes","sábado","domingo")</f>
        <v/>
      </c>
      <c r="D103" s="6" t="n">
        <v>0</v>
      </c>
      <c r="E103" s="7" t="n"/>
      <c r="F103" s="7" t="n"/>
      <c r="G103" s="7" t="n"/>
      <c r="H103" s="7" t="n"/>
    </row>
    <row r="104">
      <c r="B104" s="5" t="n">
        <v>46397</v>
      </c>
      <c r="C104" s="6">
        <f>CHOOSE(WEEKDAY(B104,2),"lunes","martes","miércoles","jueves","viernes","sábado","domingo")</f>
        <v/>
      </c>
      <c r="D104" s="6" t="n">
        <v>0</v>
      </c>
      <c r="E104" s="7" t="n"/>
      <c r="F104" s="7" t="n"/>
      <c r="G104" s="7" t="n"/>
      <c r="H104" s="7" t="n"/>
    </row>
    <row r="105">
      <c r="B105" s="2" t="n">
        <v>46398</v>
      </c>
      <c r="C105" s="3">
        <f>CHOOSE(WEEKDAY(B105,2),"lunes","martes","miércoles","jueves","viernes","sábado","domingo")</f>
        <v/>
      </c>
      <c r="D105" s="3" t="n">
        <v>12</v>
      </c>
      <c r="E105" s="4" t="inlineStr">
        <is>
          <t>Pruebas de aceptación con los criterios del SRS</t>
        </is>
      </c>
      <c r="F105" s="4" t="inlineStr">
        <is>
          <t>Aceptación de cálculos; Informe de seguridad final; Aceptación de flujos</t>
        </is>
      </c>
      <c r="G105" s="4" t="inlineStr">
        <is>
          <t>Reporte de comparación; Reportes de ZAP y Trivy; Grabación de los flujos</t>
        </is>
      </c>
      <c r="H105" s="4" t="inlineStr">
        <is>
          <t>Sprint_10/</t>
        </is>
      </c>
    </row>
    <row r="106">
      <c r="B106" s="2" t="n">
        <v>46399</v>
      </c>
      <c r="C106" s="3">
        <f>CHOOSE(WEEKDAY(B106,2),"lunes","martes","miércoles","jueves","viernes","sábado","domingo")</f>
        <v/>
      </c>
      <c r="D106" s="3" t="n">
        <v>12</v>
      </c>
      <c r="E106" s="4" t="inlineStr">
        <is>
          <t>Corrección de hallazgos y pruebas finales</t>
        </is>
      </c>
      <c r="F106" s="4" t="inlineStr">
        <is>
          <t>Correcciones del backend; Correcciones de seguridad; Correcciones del frontend</t>
        </is>
      </c>
      <c r="G106" s="4" t="inlineStr">
        <is>
          <t>Ejecución del CI en verde; Captura del quality gate aprobado; Capturas en los tres navegadores</t>
        </is>
      </c>
      <c r="H106" s="4" t="inlineStr">
        <is>
          <t>Sprint_10/</t>
        </is>
      </c>
    </row>
    <row r="107">
      <c r="B107" s="2" t="n">
        <v>46400</v>
      </c>
      <c r="C107" s="3">
        <f>CHOOSE(WEEKDAY(B107,2),"lunes","martes","miércoles","jueves","viernes","sábado","domingo")</f>
        <v/>
      </c>
      <c r="D107" s="3" t="n">
        <v>12</v>
      </c>
      <c r="E107" s="4" t="inlineStr">
        <is>
          <t>Despliegue final y release</t>
        </is>
      </c>
      <c r="F107" s="4" t="inlineStr">
        <is>
          <t>Respaldos; Release v1.0.0; Manual de usuario</t>
        </is>
      </c>
      <c r="G107" s="4" t="inlineStr">
        <is>
          <t>Prueba de restauración documentada; Release en GitHub y ejecución del CI en main; docs/manual_usuario.md o PDF en el repositorio</t>
        </is>
      </c>
      <c r="H107" s="4" t="inlineStr">
        <is>
          <t>Sprint_10/</t>
        </is>
      </c>
    </row>
    <row r="108">
      <c r="B108" s="2" t="n">
        <v>46401</v>
      </c>
      <c r="C108" s="3">
        <f>CHOOSE(WEEKDAY(B108,2),"lunes","martes","miércoles","jueves","viernes","sábado","domingo")</f>
        <v/>
      </c>
      <c r="D108" s="3" t="n">
        <v>12</v>
      </c>
      <c r="E108" s="4" t="inlineStr">
        <is>
          <t>Documentación y capacitación (RNF-11)</t>
        </is>
      </c>
      <c r="F108" s="4" t="inlineStr">
        <is>
          <t>Documentación técnica; Informe de seguridad; Material de capacitación</t>
        </is>
      </c>
      <c r="G108" s="4" t="inlineStr">
        <is>
          <t>Documentación en el repositorio; Informe en docs/seguridad/; Enlace al video</t>
        </is>
      </c>
      <c r="H108" s="4" t="inlineStr">
        <is>
          <t>Sprint_10/</t>
        </is>
      </c>
    </row>
    <row r="109">
      <c r="B109" s="8" t="n">
        <v>46402</v>
      </c>
      <c r="C109" s="9">
        <f>CHOOSE(WEEKDAY(B109,2),"lunes","martes","miércoles","jueves","viernes","sábado","domingo")</f>
        <v/>
      </c>
      <c r="D109" s="9" t="n">
        <v>12</v>
      </c>
      <c r="E109" s="10" t="inlineStr">
        <is>
          <t>Presentación final y entrega</t>
        </is>
      </c>
      <c r="F109" s="10" t="inlineStr">
        <is>
          <t>Informe final; Plataforma v1.0.0; Presentación final</t>
        </is>
      </c>
      <c r="G109" s="10" t="inlineStr">
        <is>
          <t>Informe en el repositorio; Grabación de la demostración; Diapositivas en el repositorio</t>
        </is>
      </c>
      <c r="H109" s="10" t="inlineStr">
        <is>
          <t>Sprint_10/</t>
        </is>
      </c>
    </row>
    <row r="110">
      <c r="C110" s="11" t="inlineStr">
        <is>
          <t>Total horas</t>
        </is>
      </c>
      <c r="D110" s="11">
        <f>SUM(D2:D109)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8" customWidth="1" min="4" max="4"/>
    <col width="38" customWidth="1" min="5" max="5"/>
    <col width="60" customWidth="1" min="6" max="6"/>
    <col width="36" customWidth="1" min="7" max="7"/>
    <col width="42" customWidth="1" min="8" max="8"/>
    <col width="24" customWidth="1" min="9" max="9"/>
  </cols>
  <sheetData>
    <row r="1">
      <c r="B1" s="12" t="inlineStr">
        <is>
          <t>Marcelo Acuña – Participante 1: responsable de backend, datos y cálculo de notas (rota en los módulos)</t>
        </is>
      </c>
      <c r="G1" s="13" t="inlineStr">
        <is>
          <t>Evidencias en Google Drive (abrir carpeta)</t>
        </is>
      </c>
    </row>
    <row r="2">
      <c r="B2" s="1" t="inlineStr">
        <is>
          <t>Fecha</t>
        </is>
      </c>
      <c r="C2" s="1" t="inlineStr">
        <is>
          <t>Dia</t>
        </is>
      </c>
      <c r="D2" s="1" t="inlineStr">
        <is>
          <t>Horas</t>
        </is>
      </c>
      <c r="E2" s="1" t="inlineStr">
        <is>
          <t>Actividad</t>
        </is>
      </c>
      <c r="F2" s="1" t="inlineStr">
        <is>
          <t>Subactividad</t>
        </is>
      </c>
      <c r="G2" s="1" t="inlineStr">
        <is>
          <t>Entregable</t>
        </is>
      </c>
      <c r="H2" s="1" t="inlineStr">
        <is>
          <t>Evidencia</t>
        </is>
      </c>
      <c r="I2" s="1" t="inlineStr">
        <is>
          <t>Carpeta en Drive</t>
        </is>
      </c>
    </row>
    <row r="3">
      <c r="B3" s="2" t="n">
        <v>46295</v>
      </c>
      <c r="C3" s="3">
        <f>CHOOSE(WEEKDAY(B3,2),"lunes","martes","miércoles","jueves","viernes","sábado","domingo")</f>
        <v/>
      </c>
      <c r="D3" s="3" t="n">
        <v>4</v>
      </c>
      <c r="E3" s="4" t="inlineStr">
        <is>
          <t>Definición del tema del proyecto y del cliente</t>
        </is>
      </c>
      <c r="F3" s="4" t="inlineStr">
        <is>
          <t>Reunión inicial con el vicerrector de la U. E. 'Andoas' y definición del tema y alcance preliminar</t>
        </is>
      </c>
      <c r="G3" s="4" t="inlineStr">
        <is>
          <t>Tema del proyecto definido</t>
        </is>
      </c>
      <c r="H3" s="4" t="inlineStr">
        <is>
          <t>Acta o resumen de la reunión en el Drive</t>
        </is>
      </c>
      <c r="I3" s="4" t="inlineStr">
        <is>
          <t>Sprint_01/Marcelo/</t>
        </is>
      </c>
    </row>
    <row r="4">
      <c r="B4" s="2" t="n">
        <v>46296</v>
      </c>
      <c r="C4" s="3">
        <f>CHOOSE(WEEKDAY(B4,2),"lunes","martes","miércoles","jueves","viernes","sábado","domingo")</f>
        <v/>
      </c>
      <c r="D4" s="3" t="n">
        <v>4</v>
      </c>
      <c r="E4" s="4" t="inlineStr">
        <is>
          <t>Problemática y necesidad del proyecto</t>
        </is>
      </c>
      <c r="F4" s="4" t="inlineStr">
        <is>
          <t>Redacción del problema real: planificación, calificaciones y comunicación</t>
        </is>
      </c>
      <c r="G4" s="4" t="inlineStr">
        <is>
          <t>Problema redactado</t>
        </is>
      </c>
      <c r="H4" s="4" t="inlineStr">
        <is>
          <t>Borrador del Entregable 1 en el Drive</t>
        </is>
      </c>
      <c r="I4" s="4" t="inlineStr">
        <is>
          <t>Sprint_01/Marcelo/</t>
        </is>
      </c>
    </row>
    <row r="5">
      <c r="B5" s="2" t="n">
        <v>46297</v>
      </c>
      <c r="C5" s="3">
        <f>CHOOSE(WEEKDAY(B5,2),"lunes","martes","miércoles","jueves","viernes","sábado","domingo")</f>
        <v/>
      </c>
      <c r="D5" s="3" t="n">
        <v>4</v>
      </c>
      <c r="E5" s="4" t="inlineStr">
        <is>
          <t>Matriz del ciclo de vida (SDLC) aplicada al proyecto</t>
        </is>
      </c>
      <c r="F5" s="4" t="inlineStr">
        <is>
          <t>Fases 1 a 3: necesidad, requisitos y análisis</t>
        </is>
      </c>
      <c r="G5" s="4" t="inlineStr">
        <is>
          <t>Matriz SDLC (parte 1)</t>
        </is>
      </c>
      <c r="H5" s="4" t="inlineStr">
        <is>
          <t>Matriz en el borrador del Entregable 1</t>
        </is>
      </c>
      <c r="I5" s="4" t="inlineStr">
        <is>
          <t>Sprint_01/Marcelo/</t>
        </is>
      </c>
    </row>
    <row r="6">
      <c r="B6" s="5" t="n">
        <v>46298</v>
      </c>
      <c r="C6" s="6">
        <f>CHOOSE(WEEKDAY(B6,2),"lunes","martes","miércoles","jueves","viernes","sábado","domingo")</f>
        <v/>
      </c>
      <c r="D6" s="6" t="n">
        <v>0</v>
      </c>
      <c r="E6" s="7" t="n"/>
      <c r="F6" s="7" t="n"/>
      <c r="G6" s="7" t="n"/>
      <c r="H6" s="7" t="n"/>
      <c r="I6" s="7" t="n"/>
    </row>
    <row r="7">
      <c r="B7" s="5" t="n">
        <v>46299</v>
      </c>
      <c r="C7" s="6">
        <f>CHOOSE(WEEKDAY(B7,2),"lunes","martes","miércoles","jueves","viernes","sábado","domingo")</f>
        <v/>
      </c>
      <c r="D7" s="6" t="n">
        <v>0</v>
      </c>
      <c r="E7" s="7" t="n"/>
      <c r="F7" s="7" t="n"/>
      <c r="G7" s="7" t="n"/>
      <c r="H7" s="7" t="n"/>
      <c r="I7" s="7" t="n"/>
    </row>
    <row r="8">
      <c r="B8" s="2" t="n">
        <v>46300</v>
      </c>
      <c r="C8" s="3">
        <f>CHOOSE(WEEKDAY(B8,2),"lunes","martes","miércoles","jueves","viernes","sábado","domingo")</f>
        <v/>
      </c>
      <c r="D8" s="3" t="n">
        <v>4</v>
      </c>
      <c r="E8" s="4" t="inlineStr">
        <is>
          <t>Relación necesidad → requisito → artefacto</t>
        </is>
      </c>
      <c r="F8" s="4" t="inlineStr">
        <is>
          <t>Necesidades 1 y 2: planificación y cálculo de notas</t>
        </is>
      </c>
      <c r="G8" s="4" t="inlineStr">
        <is>
          <t>Filas 1 y 2 de la tabla</t>
        </is>
      </c>
      <c r="H8" s="4" t="inlineStr">
        <is>
          <t>Tabla en el borrador del Entregable 1</t>
        </is>
      </c>
      <c r="I8" s="4" t="inlineStr">
        <is>
          <t>Sprint_01/Marcelo/</t>
        </is>
      </c>
    </row>
    <row r="9">
      <c r="B9" s="8" t="n">
        <v>46301</v>
      </c>
      <c r="C9" s="9">
        <f>CHOOSE(WEEKDAY(B9,2),"lunes","martes","miércoles","jueves","viernes","sábado","domingo")</f>
        <v/>
      </c>
      <c r="D9" s="9" t="n">
        <v>4</v>
      </c>
      <c r="E9" s="10" t="inlineStr">
        <is>
          <t>Revisión y entrega del Entregable 1 (Propuesta de SI) – cierre del sprint 1</t>
        </is>
      </c>
      <c r="F9" s="10" t="inlineStr">
        <is>
          <t>Integración del documento, portada y entrega en el aula virtual</t>
        </is>
      </c>
      <c r="G9" s="10" t="inlineStr">
        <is>
          <t>Entregable 1 entregado</t>
        </is>
      </c>
      <c r="H9" s="10" t="inlineStr">
        <is>
          <t>PDF del Entregable 1 en 00_Entregables y constancia de entrega</t>
        </is>
      </c>
      <c r="I9" s="10" t="inlineStr">
        <is>
          <t>00_Entregables/</t>
        </is>
      </c>
    </row>
    <row r="10">
      <c r="B10" s="2" t="n">
        <v>46302</v>
      </c>
      <c r="C10" s="3">
        <f>CHOOSE(WEEKDAY(B10,2),"lunes","martes","miércoles","jueves","viernes","sábado","domingo")</f>
        <v/>
      </c>
      <c r="D10" s="3" t="n">
        <v>4</v>
      </c>
      <c r="E10" s="4" t="inlineStr">
        <is>
          <t>Proceso de negocio actual y propuesto</t>
        </is>
      </c>
      <c r="F10" s="4" t="inlineStr">
        <is>
          <t>Descripción de la situación actual</t>
        </is>
      </c>
      <c r="G10" s="4" t="inlineStr">
        <is>
          <t>Situación actual</t>
        </is>
      </c>
      <c r="H10" s="4" t="inlineStr">
        <is>
          <t>Borrador del Entregable 2 en el Drive</t>
        </is>
      </c>
      <c r="I10" s="4" t="inlineStr">
        <is>
          <t>Sprint_02/Marcelo/</t>
        </is>
      </c>
    </row>
    <row r="11">
      <c r="B11" s="2" t="n">
        <v>46303</v>
      </c>
      <c r="C11" s="3">
        <f>CHOOSE(WEEKDAY(B11,2),"lunes","martes","miércoles","jueves","viernes","sábado","domingo")</f>
        <v/>
      </c>
      <c r="D11" s="3" t="n">
        <v>4</v>
      </c>
      <c r="E11" s="4" t="inlineStr">
        <is>
          <t>Modelo BPMN del proceso en Bizagi</t>
        </is>
      </c>
      <c r="F11" s="4" t="inlineStr">
        <is>
          <t>Carril del docente: planificación y registro de notas</t>
        </is>
      </c>
      <c r="G11" s="4" t="inlineStr">
        <is>
          <t>Modelo BPMN (docente)</t>
        </is>
      </c>
      <c r="H11" s="4" t="inlineStr">
        <is>
          <t>Archivo de Bizagi en 01_Modelos/Procesos_BPMN</t>
        </is>
      </c>
      <c r="I11" s="4" t="inlineStr">
        <is>
          <t>01_Modelos/Procesos_BPMN/</t>
        </is>
      </c>
    </row>
    <row r="12">
      <c r="B12" s="5" t="n">
        <v>46304</v>
      </c>
      <c r="C12" s="6">
        <f>CHOOSE(WEEKDAY(B12,2),"lunes","martes","miércoles","jueves","viernes","sábado","domingo")</f>
        <v/>
      </c>
      <c r="D12" s="6" t="n">
        <v>0</v>
      </c>
      <c r="E12" s="7" t="inlineStr">
        <is>
          <t>Feriado: Independencia de Guayaquil</t>
        </is>
      </c>
      <c r="F12" s="7" t="n"/>
      <c r="G12" s="7" t="n"/>
      <c r="H12" s="7" t="n"/>
      <c r="I12" s="7" t="n"/>
    </row>
    <row r="13">
      <c r="B13" s="5" t="n">
        <v>46305</v>
      </c>
      <c r="C13" s="6">
        <f>CHOOSE(WEEKDAY(B13,2),"lunes","martes","miércoles","jueves","viernes","sábado","domingo")</f>
        <v/>
      </c>
      <c r="D13" s="6" t="n">
        <v>0</v>
      </c>
      <c r="E13" s="7" t="n"/>
      <c r="F13" s="7" t="n"/>
      <c r="G13" s="7" t="n"/>
      <c r="H13" s="7" t="n"/>
      <c r="I13" s="7" t="n"/>
    </row>
    <row r="14">
      <c r="B14" s="5" t="n">
        <v>46306</v>
      </c>
      <c r="C14" s="6">
        <f>CHOOSE(WEEKDAY(B14,2),"lunes","martes","miércoles","jueves","viernes","sábado","domingo")</f>
        <v/>
      </c>
      <c r="D14" s="6" t="n">
        <v>0</v>
      </c>
      <c r="E14" s="7" t="n"/>
      <c r="F14" s="7" t="n"/>
      <c r="G14" s="7" t="n"/>
      <c r="H14" s="7" t="n"/>
      <c r="I14" s="7" t="n"/>
    </row>
    <row r="15">
      <c r="B15" s="2" t="n">
        <v>46307</v>
      </c>
      <c r="C15" s="3">
        <f>CHOOSE(WEEKDAY(B15,2),"lunes","martes","miércoles","jueves","viernes","sábado","domingo")</f>
        <v/>
      </c>
      <c r="D15" s="3" t="n">
        <v>4</v>
      </c>
      <c r="E15" s="4" t="inlineStr">
        <is>
          <t>Requisitos funcionales (SRS v0.1)</t>
        </is>
      </c>
      <c r="F15" s="4" t="inlineStr">
        <is>
          <t>Requisitos de usuarios, matrícula y planificación</t>
        </is>
      </c>
      <c r="G15" s="4" t="inlineStr">
        <is>
          <t>RF-01 a RF-16</t>
        </is>
      </c>
      <c r="H15" s="4" t="inlineStr">
        <is>
          <t>SRS v0.1 en 02_Documentos</t>
        </is>
      </c>
      <c r="I15" s="4" t="inlineStr">
        <is>
          <t>02_Documentos/</t>
        </is>
      </c>
    </row>
    <row r="16">
      <c r="B16" s="2" t="n">
        <v>46308</v>
      </c>
      <c r="C16" s="3">
        <f>CHOOSE(WEEKDAY(B16,2),"lunes","martes","miércoles","jueves","viernes","sábado","domingo")</f>
        <v/>
      </c>
      <c r="D16" s="3" t="n">
        <v>4</v>
      </c>
      <c r="E16" s="4" t="inlineStr">
        <is>
          <t>Requisitos no funcionales y criterios de aceptación</t>
        </is>
      </c>
      <c r="F16" s="4" t="inlineStr">
        <is>
          <t>Exactitud, rendimiento y trazabilidad</t>
        </is>
      </c>
      <c r="G16" s="4" t="inlineStr">
        <is>
          <t>RNF de exactitud y rendimiento</t>
        </is>
      </c>
      <c r="H16" s="4" t="inlineStr">
        <is>
          <t>SRS v0.1 en 02_Documentos</t>
        </is>
      </c>
      <c r="I16" s="4" t="inlineStr">
        <is>
          <t>02_Documentos/</t>
        </is>
      </c>
    </row>
    <row r="17">
      <c r="B17" s="2" t="n">
        <v>46309</v>
      </c>
      <c r="C17" s="3">
        <f>CHOOSE(WEEKDAY(B17,2),"lunes","martes","miércoles","jueves","viernes","sábado","domingo")</f>
        <v/>
      </c>
      <c r="D17" s="3" t="n">
        <v>4</v>
      </c>
      <c r="E17" s="4" t="inlineStr">
        <is>
          <t>Validación del prototipo con el cliente</t>
        </is>
      </c>
      <c r="F17" s="4" t="inlineStr">
        <is>
          <t>Demostración del prototipo al vicerrector</t>
        </is>
      </c>
      <c r="G17" s="4" t="inlineStr">
        <is>
          <t>Prototipo presentado</t>
        </is>
      </c>
      <c r="H17" s="4" t="inlineStr">
        <is>
          <t>Capturas o grabación de la reunión</t>
        </is>
      </c>
      <c r="I17" s="4" t="inlineStr">
        <is>
          <t>Sprint_02/Marcelo/</t>
        </is>
      </c>
    </row>
    <row r="18">
      <c r="B18" s="2" t="n">
        <v>46310</v>
      </c>
      <c r="C18" s="3">
        <f>CHOOSE(WEEKDAY(B18,2),"lunes","martes","miércoles","jueves","viernes","sábado","domingo")</f>
        <v/>
      </c>
      <c r="D18" s="3" t="n">
        <v>4</v>
      </c>
      <c r="E18" s="4" t="inlineStr">
        <is>
          <t>Taller de vulnerabilidades y riesgos</t>
        </is>
      </c>
      <c r="F18" s="4" t="inlineStr">
        <is>
          <t>Vulnerabilidades potenciales V1 a V5 con impacto y costo</t>
        </is>
      </c>
      <c r="G18" s="4" t="inlineStr">
        <is>
          <t>Tabla de vulnerabilidades</t>
        </is>
      </c>
      <c r="H18" s="4" t="inlineStr">
        <is>
          <t>Taller en el Drive</t>
        </is>
      </c>
      <c r="I18" s="4" t="inlineStr">
        <is>
          <t>01_Modelos/Seguridad/</t>
        </is>
      </c>
    </row>
    <row r="19">
      <c r="B19" s="2" t="n">
        <v>46311</v>
      </c>
      <c r="C19" s="3">
        <f>CHOOSE(WEEKDAY(B19,2),"lunes","martes","miércoles","jueves","viernes","sábado","domingo")</f>
        <v/>
      </c>
      <c r="D19" s="3" t="n">
        <v>4</v>
      </c>
      <c r="E19" s="4" t="inlineStr">
        <is>
          <t>Objetivos, alcance y fuera de alcance</t>
        </is>
      </c>
      <c r="F19" s="4" t="inlineStr">
        <is>
          <t>Objetivo general y objetivos específicos medibles</t>
        </is>
      </c>
      <c r="G19" s="4" t="inlineStr">
        <is>
          <t>Objetivos del proyecto</t>
        </is>
      </c>
      <c r="H19" s="4" t="inlineStr">
        <is>
          <t>Borrador del Entregable 2</t>
        </is>
      </c>
      <c r="I19" s="4" t="inlineStr">
        <is>
          <t>Sprint_02/Marcelo/</t>
        </is>
      </c>
    </row>
    <row r="20">
      <c r="B20" s="5" t="n">
        <v>46312</v>
      </c>
      <c r="C20" s="6">
        <f>CHOOSE(WEEKDAY(B20,2),"lunes","martes","miércoles","jueves","viernes","sábado","domingo")</f>
        <v/>
      </c>
      <c r="D20" s="6" t="n">
        <v>0</v>
      </c>
      <c r="E20" s="7" t="n"/>
      <c r="F20" s="7" t="n"/>
      <c r="G20" s="7" t="n"/>
      <c r="H20" s="7" t="n"/>
      <c r="I20" s="7" t="n"/>
    </row>
    <row r="21">
      <c r="B21" s="5" t="n">
        <v>46313</v>
      </c>
      <c r="C21" s="6">
        <f>CHOOSE(WEEKDAY(B21,2),"lunes","martes","miércoles","jueves","viernes","sábado","domingo")</f>
        <v/>
      </c>
      <c r="D21" s="6" t="n">
        <v>0</v>
      </c>
      <c r="E21" s="7" t="n"/>
      <c r="F21" s="7" t="n"/>
      <c r="G21" s="7" t="n"/>
      <c r="H21" s="7" t="n"/>
      <c r="I21" s="7" t="n"/>
    </row>
    <row r="22">
      <c r="B22" s="2" t="n">
        <v>46314</v>
      </c>
      <c r="C22" s="3">
        <f>CHOOSE(WEEKDAY(B22,2),"lunes","martes","miércoles","jueves","viernes","sábado","domingo")</f>
        <v/>
      </c>
      <c r="D22" s="3" t="n">
        <v>4</v>
      </c>
      <c r="E22" s="4" t="inlineStr">
        <is>
          <t>Stakeholders, usuarios y actores, y casos de uso</t>
        </is>
      </c>
      <c r="F22" s="4" t="inlineStr">
        <is>
          <t>Identificación de stakeholders internos y externos y matriz poder/interés</t>
        </is>
      </c>
      <c r="G22" s="4" t="inlineStr">
        <is>
          <t>Matriz de stakeholders</t>
        </is>
      </c>
      <c r="H22" s="4" t="inlineStr">
        <is>
          <t>Tabla en el borrador del Entregable 2</t>
        </is>
      </c>
      <c r="I22" s="4" t="inlineStr">
        <is>
          <t>Sprint_02/Marcelo/</t>
        </is>
      </c>
    </row>
    <row r="23">
      <c r="B23" s="8" t="n">
        <v>46315</v>
      </c>
      <c r="C23" s="9">
        <f>CHOOSE(WEEKDAY(B23,2),"lunes","martes","miércoles","jueves","viernes","sábado","domingo")</f>
        <v/>
      </c>
      <c r="D23" s="9" t="n">
        <v>4</v>
      </c>
      <c r="E23" s="10" t="inlineStr">
        <is>
          <t>Revisión y entrega del Entregable 2 (Procesos e involucrados) – cierre del sprint 2</t>
        </is>
      </c>
      <c r="F23" s="10" t="inlineStr">
        <is>
          <t>Integración del documento y entrega en el aula virtual; informe del sprint 2</t>
        </is>
      </c>
      <c r="G23" s="10" t="inlineStr">
        <is>
          <t>Entregable 2 entregado</t>
        </is>
      </c>
      <c r="H23" s="10" t="inlineStr">
        <is>
          <t>PDF del Entregable 2 en 00_Entregables y constancia de entrega</t>
        </is>
      </c>
      <c r="I23" s="10" t="inlineStr">
        <is>
          <t>00_Entregables/</t>
        </is>
      </c>
    </row>
    <row r="24">
      <c r="B24" s="2" t="n">
        <v>46316</v>
      </c>
      <c r="C24" s="3">
        <f>CHOOSE(WEEKDAY(B24,2),"lunes","martes","miércoles","jueves","viernes","sábado","domingo")</f>
        <v/>
      </c>
      <c r="D24" s="3" t="n">
        <v>4</v>
      </c>
      <c r="E24" s="4" t="inlineStr">
        <is>
          <t>Configuración de GitHub y Product Backlog en GitHub Projects</t>
        </is>
      </c>
      <c r="F24" s="4" t="inlineStr">
        <is>
          <t>Organización de GitHub con los tres integrantes como propietarios (owners) y repositorio público desde cero con las ramas main, test y dev, README, .gitignore, CODEOWNERS y plantilla de PR</t>
        </is>
      </c>
      <c r="G24" s="4" t="inlineStr">
        <is>
          <t>Organización y repositorio con ramas y CODEOWNERS</t>
        </is>
      </c>
      <c r="H24" s="4" t="inlineStr">
        <is>
          <t>Captura de los miembros de la organización con rol Owner, enlace al repositorio y captura de las ramas (git branch -a)</t>
        </is>
      </c>
      <c r="I24" s="4" t="inlineStr">
        <is>
          <t>Sprint_03/Marcelo/</t>
        </is>
      </c>
    </row>
    <row r="25">
      <c r="B25" s="2" t="n">
        <v>46317</v>
      </c>
      <c r="C25" s="3">
        <f>CHOOSE(WEEKDAY(B25,2),"lunes","martes","miércoles","jueves","viernes","sábado","domingo")</f>
        <v/>
      </c>
      <c r="D25" s="3" t="n">
        <v>4</v>
      </c>
      <c r="E25" s="4" t="inlineStr">
        <is>
          <t>Definición de tecnologías y entrega del Entregable 3</t>
        </is>
      </c>
      <c r="F25" s="4" t="inlineStr">
        <is>
          <t>Selección de tecnologías con criterios (NestJS, PostgreSQL, Prisma, React + Vite PWA, Docker) y estructura del monorepo</t>
        </is>
      </c>
      <c r="G25" s="4" t="inlineStr">
        <is>
          <t>Informe de tecnologías y estructura de carpetas</t>
        </is>
      </c>
      <c r="H25" s="4" t="inlineStr">
        <is>
          <t>docs/arquitectura/seleccion_tecnologias.md y commit en dev</t>
        </is>
      </c>
      <c r="I25" s="4" t="inlineStr">
        <is>
          <t>Sprint_03/Marcelo/</t>
        </is>
      </c>
    </row>
    <row r="26">
      <c r="B26" s="2" t="n">
        <v>46318</v>
      </c>
      <c r="C26" s="3">
        <f>CHOOSE(WEEKDAY(B26,2),"lunes","martes","miércoles","jueves","viernes","sábado","domingo")</f>
        <v/>
      </c>
      <c r="D26" s="3" t="n">
        <v>4</v>
      </c>
      <c r="E26" s="4" t="inlineStr">
        <is>
          <t>Diseño de arquitectura, datos y amenazas</t>
        </is>
      </c>
      <c r="F26" s="4" t="inlineStr">
        <is>
          <t>Modelo de datos: usuarios, roles, cursos, paralelos, materias, matrículas, planificaciones, calificaciones, asistencia, comportamiento y notificaciones</t>
        </is>
      </c>
      <c r="G26" s="4" t="inlineStr">
        <is>
          <t>Modelo de datos v1</t>
        </is>
      </c>
      <c r="H26" s="4" t="inlineStr">
        <is>
          <t>docs/arquitectura/modelo_datos.md con diagrama Mermaid renderizado en GitHub</t>
        </is>
      </c>
      <c r="I26" s="4" t="inlineStr">
        <is>
          <t>01_Modelos/Datos/</t>
        </is>
      </c>
    </row>
    <row r="27">
      <c r="B27" s="5" t="n">
        <v>46319</v>
      </c>
      <c r="C27" s="6">
        <f>CHOOSE(WEEKDAY(B27,2),"lunes","martes","miércoles","jueves","viernes","sábado","domingo")</f>
        <v/>
      </c>
      <c r="D27" s="6" t="n">
        <v>0</v>
      </c>
      <c r="E27" s="7" t="n"/>
      <c r="F27" s="7" t="n"/>
      <c r="G27" s="7" t="n"/>
      <c r="H27" s="7" t="n"/>
      <c r="I27" s="7" t="n"/>
    </row>
    <row r="28">
      <c r="B28" s="5" t="n">
        <v>46320</v>
      </c>
      <c r="C28" s="6">
        <f>CHOOSE(WEEKDAY(B28,2),"lunes","martes","miércoles","jueves","viernes","sábado","domingo")</f>
        <v/>
      </c>
      <c r="D28" s="6" t="n">
        <v>0</v>
      </c>
      <c r="E28" s="7" t="n"/>
      <c r="F28" s="7" t="n"/>
      <c r="G28" s="7" t="n"/>
      <c r="H28" s="7" t="n"/>
      <c r="I28" s="7" t="n"/>
    </row>
    <row r="29">
      <c r="B29" s="2" t="n">
        <v>46321</v>
      </c>
      <c r="C29" s="3">
        <f>CHOOSE(WEEKDAY(B29,2),"lunes","martes","miércoles","jueves","viernes","sábado","domingo")</f>
        <v/>
      </c>
      <c r="D29" s="3" t="n">
        <v>4</v>
      </c>
      <c r="E29" s="4" t="inlineStr">
        <is>
          <t>CI básico: secretos y compilación con avisos en Telegram</t>
        </is>
      </c>
      <c r="F29" s="4" t="inlineStr">
        <is>
          <t>Workflow ci.yml con un job por etapa (Secretos, Compilación), disparado en push a dev y en PR hacia test y main</t>
        </is>
      </c>
      <c r="G29" s="4" t="inlineStr">
        <is>
          <t>.github/workflows/ci.yml v0</t>
        </is>
      </c>
      <c r="H29" s="4" t="inlineStr">
        <is>
          <t>Ejecución exitosa en GitHub Actions</t>
        </is>
      </c>
      <c r="I29" s="4" t="inlineStr">
        <is>
          <t>Sprint_03/Marcelo/</t>
        </is>
      </c>
    </row>
    <row r="30">
      <c r="B30" s="2" t="n">
        <v>46322</v>
      </c>
      <c r="C30" s="3">
        <f>CHOOSE(WEEKDAY(B30,2),"lunes","martes","miércoles","jueves","viernes","sábado","domingo")</f>
        <v/>
      </c>
      <c r="D30" s="3" t="n">
        <v>4</v>
      </c>
      <c r="E30" s="4" t="inlineStr">
        <is>
          <t>Esqueletos de la API y de la PWA</t>
        </is>
      </c>
      <c r="F30" s="4" t="inlineStr">
        <is>
          <t>Proyecto NestJS en backend/ con endpoint /health, configuración por variables de entorno y Swagger</t>
        </is>
      </c>
      <c r="G30" s="4" t="inlineStr">
        <is>
          <t>API esqueleto</t>
        </is>
      </c>
      <c r="H30" s="4" t="inlineStr">
        <is>
          <t>Commit en dev y captura de Swagger UI con /health</t>
        </is>
      </c>
      <c r="I30" s="4" t="inlineStr">
        <is>
          <t>Sprint_03/Marcelo/</t>
        </is>
      </c>
    </row>
    <row r="31">
      <c r="B31" s="2" t="n">
        <v>46323</v>
      </c>
      <c r="C31" s="3">
        <f>CHOOSE(WEEKDAY(B31,2),"lunes","martes","miércoles","jueves","viernes","sábado","domingo")</f>
        <v/>
      </c>
      <c r="D31" s="3" t="n">
        <v>4</v>
      </c>
      <c r="E31" s="4" t="inlineStr">
        <is>
          <t>Base de datos, etapa de pruebas y estructura de la PWA</t>
        </is>
      </c>
      <c r="F31" s="4" t="inlineStr">
        <is>
          <t>Prisma con PostgreSQL: esquema inicial (usuarios, roles) y primera migración</t>
        </is>
      </c>
      <c r="G31" s="4" t="inlineStr">
        <is>
          <t>Esquema y migración inicial</t>
        </is>
      </c>
      <c r="H31" s="4" t="inlineStr">
        <is>
          <t>Commit en dev y salida de 'prisma migrate deploy' en el contenedor</t>
        </is>
      </c>
      <c r="I31" s="4" t="inlineStr">
        <is>
          <t>Sprint_03/Marcelo/</t>
        </is>
      </c>
    </row>
    <row r="32">
      <c r="B32" s="2" t="n">
        <v>46324</v>
      </c>
      <c r="C32" s="3">
        <f>CHOOSE(WEEKDAY(B32,2),"lunes","martes","miércoles","jueves","viernes","sábado","domingo")</f>
        <v/>
      </c>
      <c r="D32" s="3" t="n">
        <v>4</v>
      </c>
      <c r="E32" s="4" t="inlineStr">
        <is>
          <t>Análisis de dependencias, calidad de código y contenedores</t>
        </is>
      </c>
      <c r="F32" s="4" t="inlineStr">
        <is>
          <t>Dockerfile multietapa de la API con usuario no root e imagen mínima</t>
        </is>
      </c>
      <c r="G32" s="4" t="inlineStr">
        <is>
          <t>Dockerfile de la API</t>
        </is>
      </c>
      <c r="H32" s="4" t="inlineStr">
        <is>
          <t>Imagen construida localmente y en el CI</t>
        </is>
      </c>
      <c r="I32" s="4" t="inlineStr">
        <is>
          <t>Sprint_03/Marcelo/</t>
        </is>
      </c>
    </row>
    <row r="33">
      <c r="B33" s="8" t="n">
        <v>46325</v>
      </c>
      <c r="C33" s="9">
        <f>CHOOSE(WEEKDAY(B33,2),"lunes","martes","miércoles","jueves","viernes","sábado","domingo")</f>
        <v/>
      </c>
      <c r="D33" s="9" t="n">
        <v>4</v>
      </c>
      <c r="E33" s="10" t="inlineStr">
        <is>
          <t>Integración, demostración e informe del sprint 3</t>
        </is>
      </c>
      <c r="F33" s="10" t="inlineStr">
        <is>
          <t>docker-compose con api, web y db; PR dev → test</t>
        </is>
      </c>
      <c r="G33" s="10" t="inlineStr">
        <is>
          <t>docker-compose.yml y PR dev → test</t>
        </is>
      </c>
      <c r="H33" s="10" t="inlineStr">
        <is>
          <t>PR unido a test con el CI en verde y captura de 'docker compose ps'</t>
        </is>
      </c>
      <c r="I33" s="10" t="inlineStr">
        <is>
          <t>Sprint_03/Marcelo/</t>
        </is>
      </c>
    </row>
    <row r="34">
      <c r="B34" s="5" t="n">
        <v>46326</v>
      </c>
      <c r="C34" s="6">
        <f>CHOOSE(WEEKDAY(B34,2),"lunes","martes","miércoles","jueves","viernes","sábado","domingo")</f>
        <v/>
      </c>
      <c r="D34" s="6" t="n">
        <v>0</v>
      </c>
      <c r="E34" s="7" t="n"/>
      <c r="F34" s="7" t="n"/>
      <c r="G34" s="7" t="n"/>
      <c r="H34" s="7" t="n"/>
      <c r="I34" s="7" t="n"/>
    </row>
    <row r="35">
      <c r="B35" s="5" t="n">
        <v>46327</v>
      </c>
      <c r="C35" s="6">
        <f>CHOOSE(WEEKDAY(B35,2),"lunes","martes","miércoles","jueves","viernes","sábado","domingo")</f>
        <v/>
      </c>
      <c r="D35" s="6" t="n">
        <v>0</v>
      </c>
      <c r="E35" s="7" t="n"/>
      <c r="F35" s="7" t="n"/>
      <c r="G35" s="7" t="n"/>
      <c r="H35" s="7" t="n"/>
      <c r="I35" s="7" t="n"/>
    </row>
    <row r="36">
      <c r="B36" s="5" t="n">
        <v>46328</v>
      </c>
      <c r="C36" s="6">
        <f>CHOOSE(WEEKDAY(B36,2),"lunes","martes","miércoles","jueves","viernes","sábado","domingo")</f>
        <v/>
      </c>
      <c r="D36" s="6" t="n">
        <v>0</v>
      </c>
      <c r="E36" s="7" t="inlineStr">
        <is>
          <t>Feriado: Día de los Difuntos</t>
        </is>
      </c>
      <c r="F36" s="7" t="n"/>
      <c r="G36" s="7" t="n"/>
      <c r="H36" s="7" t="n"/>
      <c r="I36" s="7" t="n"/>
    </row>
    <row r="37">
      <c r="B37" s="5" t="n">
        <v>46329</v>
      </c>
      <c r="C37" s="6">
        <f>CHOOSE(WEEKDAY(B37,2),"lunes","martes","miércoles","jueves","viernes","sábado","domingo")</f>
        <v/>
      </c>
      <c r="D37" s="6" t="n">
        <v>0</v>
      </c>
      <c r="E37" s="7" t="inlineStr">
        <is>
          <t>Feriado: Independencia de Cuenca</t>
        </is>
      </c>
      <c r="F37" s="7" t="n"/>
      <c r="G37" s="7" t="n"/>
      <c r="H37" s="7" t="n"/>
      <c r="I37" s="7" t="n"/>
    </row>
    <row r="38">
      <c r="B38" s="2" t="n">
        <v>46330</v>
      </c>
      <c r="C38" s="3">
        <f>CHOOSE(WEEKDAY(B38,2),"lunes","martes","miércoles","jueves","viernes","sábado","domingo")</f>
        <v/>
      </c>
      <c r="D38" s="3" t="n">
        <v>4</v>
      </c>
      <c r="E38" s="4" t="inlineStr">
        <is>
          <t>Construcción y escaneo de imágenes en el CI</t>
        </is>
      </c>
      <c r="F38" s="4" t="inlineStr">
        <is>
          <t>Etapa Imagen: construcción de las imágenes api y web con caché</t>
        </is>
      </c>
      <c r="G38" s="4" t="inlineStr">
        <is>
          <t>Paso 'Imagen' en el CI</t>
        </is>
      </c>
      <c r="H38" s="4" t="inlineStr">
        <is>
          <t>Log del paso 'Imagen' en GitHub Actions</t>
        </is>
      </c>
      <c r="I38" s="4" t="inlineStr">
        <is>
          <t>Sprint_04/Marcelo/</t>
        </is>
      </c>
    </row>
    <row r="39">
      <c r="B39" s="2" t="n">
        <v>46331</v>
      </c>
      <c r="C39" s="3">
        <f>CHOOSE(WEEKDAY(B39,2),"lunes","martes","miércoles","jueves","viernes","sábado","domingo")</f>
        <v/>
      </c>
      <c r="D39" s="3" t="n">
        <v>4</v>
      </c>
      <c r="E39" s="4" t="inlineStr">
        <is>
          <t>Autenticación y roles (RF-01, RF-03)</t>
        </is>
      </c>
      <c r="F39" s="4" t="inlineStr">
        <is>
          <t>Módulo de autenticación: login con JWT, claves con argon2 y guard de roles (Administrador, Secretaría, Docente, Estudiante, Representante)</t>
        </is>
      </c>
      <c r="G39" s="4" t="inlineStr">
        <is>
          <t>Módulo de autenticación</t>
        </is>
      </c>
      <c r="H39" s="4" t="inlineStr">
        <is>
          <t>Pruebas Jest y petición con y sin token (401 / 200)</t>
        </is>
      </c>
      <c r="I39" s="4" t="inlineStr">
        <is>
          <t>Sprint_04/Marcelo/</t>
        </is>
      </c>
    </row>
    <row r="40">
      <c r="B40" s="2" t="n">
        <v>46332</v>
      </c>
      <c r="C40" s="3">
        <f>CHOOSE(WEEKDAY(B40,2),"lunes","martes","miércoles","jueves","viernes","sábado","domingo")</f>
        <v/>
      </c>
      <c r="D40" s="3" t="n">
        <v>4</v>
      </c>
      <c r="E40" s="4" t="inlineStr">
        <is>
          <t>Generación de usuarios, sesión y auditoría (RF-02)</t>
        </is>
      </c>
      <c r="F40" s="4" t="inlineStr">
        <is>
          <t>Generación automática del usuario (nombre.apellido y número si ya existe) con clave inicial igual a la cédula</t>
        </is>
      </c>
      <c r="G40" s="4" t="inlineStr">
        <is>
          <t>Servicio de usuarios</t>
        </is>
      </c>
      <c r="H40" s="4" t="inlineStr">
        <is>
          <t>Pruebas unitarias con nombres repetidos</t>
        </is>
      </c>
      <c r="I40" s="4" t="inlineStr">
        <is>
          <t>Sprint_04/Marcelo/</t>
        </is>
      </c>
    </row>
    <row r="41">
      <c r="B41" s="5" t="n">
        <v>46333</v>
      </c>
      <c r="C41" s="6">
        <f>CHOOSE(WEEKDAY(B41,2),"lunes","martes","miércoles","jueves","viernes","sábado","domingo")</f>
        <v/>
      </c>
      <c r="D41" s="6" t="n">
        <v>0</v>
      </c>
      <c r="E41" s="7" t="n"/>
      <c r="F41" s="7" t="n"/>
      <c r="G41" s="7" t="n"/>
      <c r="H41" s="7" t="n"/>
      <c r="I41" s="7" t="n"/>
    </row>
    <row r="42">
      <c r="B42" s="5" t="n">
        <v>46334</v>
      </c>
      <c r="C42" s="6">
        <f>CHOOSE(WEEKDAY(B42,2),"lunes","martes","miércoles","jueves","viernes","sábado","domingo")</f>
        <v/>
      </c>
      <c r="D42" s="6" t="n">
        <v>0</v>
      </c>
      <c r="E42" s="7" t="n"/>
      <c r="F42" s="7" t="n"/>
      <c r="G42" s="7" t="n"/>
      <c r="H42" s="7" t="n"/>
      <c r="I42" s="7" t="n"/>
    </row>
    <row r="43">
      <c r="B43" s="2" t="n">
        <v>46335</v>
      </c>
      <c r="C43" s="3">
        <f>CHOOSE(WEEKDAY(B43,2),"lunes","martes","miércoles","jueves","viernes","sábado","domingo")</f>
        <v/>
      </c>
      <c r="D43" s="3" t="n">
        <v>4</v>
      </c>
      <c r="E43" s="4" t="inlineStr">
        <is>
          <t>Año lectivo, cursos, paralelos y materias (RF-06, RF-07)</t>
        </is>
      </c>
      <c r="F43" s="4" t="inlineStr">
        <is>
          <t>API de año lectivo, cursos, paralelos y materias con validación de datos (DTO)</t>
        </is>
      </c>
      <c r="G43" s="4" t="inlineStr">
        <is>
          <t>Endpoints académicos</t>
        </is>
      </c>
      <c r="H43" s="4" t="inlineStr">
        <is>
          <t>Swagger y pruebas Jest</t>
        </is>
      </c>
      <c r="I43" s="4" t="inlineStr">
        <is>
          <t>Sprint_04/Marcelo/</t>
        </is>
      </c>
    </row>
    <row r="44">
      <c r="B44" s="2" t="n">
        <v>46336</v>
      </c>
      <c r="C44" s="3">
        <f>CHOOSE(WEEKDAY(B44,2),"lunes","martes","miércoles","jueves","viernes","sábado","domingo")</f>
        <v/>
      </c>
      <c r="D44" s="3" t="n">
        <v>4</v>
      </c>
      <c r="E44" s="4" t="inlineStr">
        <is>
          <t>Gestión de docentes y asignación de materias (RF-05)</t>
        </is>
      </c>
      <c r="F44" s="4" t="inlineStr">
        <is>
          <t>Pantalla de docentes con datos de contacto y selección de materias de una lista</t>
        </is>
      </c>
      <c r="G44" s="4" t="inlineStr">
        <is>
          <t>Pantalla de docentes</t>
        </is>
      </c>
      <c r="H44" s="4" t="inlineStr">
        <is>
          <t>Capturas de la creación y asignación</t>
        </is>
      </c>
      <c r="I44" s="4" t="inlineStr">
        <is>
          <t>Sprint_04/Marcelo/</t>
        </is>
      </c>
    </row>
    <row r="45">
      <c r="B45" s="2" t="n">
        <v>46337</v>
      </c>
      <c r="C45" s="3">
        <f>CHOOSE(WEEKDAY(B45,2),"lunes","martes","miércoles","jueves","viernes","sábado","domingo")</f>
        <v/>
      </c>
      <c r="D45" s="3" t="n">
        <v>4</v>
      </c>
      <c r="E45" s="4" t="inlineStr">
        <is>
          <t>Matrícula individual y representantes (RF-04, RF-29)</t>
        </is>
      </c>
      <c r="F45" s="4" t="inlineStr">
        <is>
          <t>API de matrícula con datos del estudiante, representantes, números de WhatsApp y autorización de avisos</t>
        </is>
      </c>
      <c r="G45" s="4" t="inlineStr">
        <is>
          <t>Endpoints de matrícula</t>
        </is>
      </c>
      <c r="H45" s="4" t="inlineStr">
        <is>
          <t>Pruebas Jest y Swagger</t>
        </is>
      </c>
      <c r="I45" s="4" t="inlineStr">
        <is>
          <t>Sprint_04/Marcelo/</t>
        </is>
      </c>
    </row>
    <row r="46">
      <c r="B46" s="2" t="n">
        <v>46338</v>
      </c>
      <c r="C46" s="3">
        <f>CHOOSE(WEEKDAY(B46,2),"lunes","martes","miércoles","jueves","viernes","sábado","domingo")</f>
        <v/>
      </c>
      <c r="D46" s="3" t="n">
        <v>4</v>
      </c>
      <c r="E46" s="4" t="inlineStr">
        <is>
          <t>Importación de nóminas desde Excel (RF-04)</t>
        </is>
      </c>
      <c r="F46" s="4" t="inlineStr">
        <is>
          <t>Importador de Excel en la API con validación fila por fila y reporte de errores</t>
        </is>
      </c>
      <c r="G46" s="4" t="inlineStr">
        <is>
          <t>Importador de nóminas</t>
        </is>
      </c>
      <c r="H46" s="4" t="inlineStr">
        <is>
          <t>Prueba con un archivo de ejemplo ficticio</t>
        </is>
      </c>
      <c r="I46" s="4" t="inlineStr">
        <is>
          <t>Sprint_04/Marcelo/</t>
        </is>
      </c>
    </row>
    <row r="47">
      <c r="B47" s="8" t="n">
        <v>46339</v>
      </c>
      <c r="C47" s="9">
        <f>CHOOSE(WEEKDAY(B47,2),"lunes","martes","miércoles","jueves","viernes","sábado","domingo")</f>
        <v/>
      </c>
      <c r="D47" s="9" t="n">
        <v>4</v>
      </c>
      <c r="E47" s="10" t="inlineStr">
        <is>
          <t>Integración, demostración e informe del sprint 4</t>
        </is>
      </c>
      <c r="F47" s="10" t="inlineStr">
        <is>
          <t>Demostración: inicio de sesión por rol, gestión académica y matrícula por Excel</t>
        </is>
      </c>
      <c r="G47" s="10" t="inlineStr">
        <is>
          <t>Módulo de usuarios y matrícula</t>
        </is>
      </c>
      <c r="H47" s="10" t="inlineStr">
        <is>
          <t>Grabación o capturas de la demostración</t>
        </is>
      </c>
      <c r="I47" s="10" t="inlineStr">
        <is>
          <t>Sprint_04/Marcelo/</t>
        </is>
      </c>
    </row>
    <row r="48">
      <c r="B48" s="5" t="n">
        <v>46340</v>
      </c>
      <c r="C48" s="6">
        <f>CHOOSE(WEEKDAY(B48,2),"lunes","martes","miércoles","jueves","viernes","sábado","domingo")</f>
        <v/>
      </c>
      <c r="D48" s="6" t="n">
        <v>0</v>
      </c>
      <c r="E48" s="7" t="n"/>
      <c r="F48" s="7" t="n"/>
      <c r="G48" s="7" t="n"/>
      <c r="H48" s="7" t="n"/>
      <c r="I48" s="7" t="n"/>
    </row>
    <row r="49">
      <c r="B49" s="5" t="n">
        <v>46341</v>
      </c>
      <c r="C49" s="6">
        <f>CHOOSE(WEEKDAY(B49,2),"lunes","martes","miércoles","jueves","viernes","sábado","domingo")</f>
        <v/>
      </c>
      <c r="D49" s="6" t="n">
        <v>0</v>
      </c>
      <c r="E49" s="7" t="n"/>
      <c r="F49" s="7" t="n"/>
      <c r="G49" s="7" t="n"/>
      <c r="H49" s="7" t="n"/>
      <c r="I49" s="7" t="n"/>
    </row>
    <row r="50">
      <c r="B50" s="2" t="n">
        <v>46342</v>
      </c>
      <c r="C50" s="3">
        <f>CHOOSE(WEEKDAY(B50,2),"lunes","martes","miércoles","jueves","viernes","sábado","domingo")</f>
        <v/>
      </c>
      <c r="D50" s="3" t="n">
        <v>4</v>
      </c>
      <c r="E50" s="4" t="inlineStr">
        <is>
          <t>Datos de prueba, ambiente de pruebas y pruebas e2e</t>
        </is>
      </c>
      <c r="F50" s="4" t="inlineStr">
        <is>
          <t>Seed de datos ficticios: año lectivo, cursos, docentes y estudiantes</t>
        </is>
      </c>
      <c r="G50" s="4" t="inlineStr">
        <is>
          <t>Datos de prueba</t>
        </is>
      </c>
      <c r="H50" s="4" t="inlineStr">
        <is>
          <t>Salida del seed y conteo de registros</t>
        </is>
      </c>
      <c r="I50" s="4" t="inlineStr">
        <is>
          <t>Sprint_05/Marcelo/</t>
        </is>
      </c>
    </row>
    <row r="51">
      <c r="B51" s="2" t="n">
        <v>46343</v>
      </c>
      <c r="C51" s="3">
        <f>CHOOSE(WEEKDAY(B51,2),"lunes","martes","miércoles","jueves","viernes","sábado","domingo")</f>
        <v/>
      </c>
      <c r="D51" s="3" t="n">
        <v>4</v>
      </c>
      <c r="E51" s="4" t="inlineStr">
        <is>
          <t>Paquete compartido del cálculo de notas</t>
        </is>
      </c>
      <c r="F51" s="4" t="inlineStr">
        <is>
          <t>packages/calculo: traslado del motor del prototipo a TypeScript (bloques, refuerzo, 70/15/15, truncado y cualitativo A+ a E-)</t>
        </is>
      </c>
      <c r="G51" s="4" t="inlineStr">
        <is>
          <t>Paquete de cálculo</t>
        </is>
      </c>
      <c r="H51" s="4" t="inlineStr">
        <is>
          <t>Commit en dev con el paquete y su documentación</t>
        </is>
      </c>
      <c r="I51" s="4" t="inlineStr">
        <is>
          <t>Sprint_05/Marcelo/</t>
        </is>
      </c>
    </row>
    <row r="52">
      <c r="B52" s="2" t="n">
        <v>46344</v>
      </c>
      <c r="C52" s="3">
        <f>CHOOSE(WEEKDAY(B52,2),"lunes","martes","miércoles","jueves","viernes","sábado","domingo")</f>
        <v/>
      </c>
      <c r="D52" s="3" t="n">
        <v>4</v>
      </c>
      <c r="E52" s="4" t="inlineStr">
        <is>
          <t>Registro de aportes y cálculo de notas (RF-17, RF-18)</t>
        </is>
      </c>
      <c r="F52" s="4" t="inlineStr">
        <is>
          <t>Pruebas de coincidencia con la hoja oficial de 9no EGB 'A' anonimizada</t>
        </is>
      </c>
      <c r="G52" s="4" t="inlineStr">
        <is>
          <t>Pruebas de exactitud</t>
        </is>
      </c>
      <c r="H52" s="4" t="inlineStr">
        <is>
          <t>Reporte con el 100% de coincidencia</t>
        </is>
      </c>
      <c r="I52" s="4" t="inlineStr">
        <is>
          <t>Sprint_05/Marcelo/</t>
        </is>
      </c>
    </row>
    <row r="53">
      <c r="B53" s="2" t="n">
        <v>46345</v>
      </c>
      <c r="C53" s="3">
        <f>CHOOSE(WEEKDAY(B53,2),"lunes","martes","miércoles","jueves","viernes","sábado","domingo")</f>
        <v/>
      </c>
      <c r="D53" s="3" t="n">
        <v>4</v>
      </c>
      <c r="E53" s="4" t="inlineStr">
        <is>
          <t>Tareas, pruebas y proyectos (RF-19)</t>
        </is>
      </c>
      <c r="F53" s="4" t="inlineStr">
        <is>
          <t>API de tareas con fecha de entrega y enlace de recurso opcional</t>
        </is>
      </c>
      <c r="G53" s="4" t="inlineStr">
        <is>
          <t>Endpoints de tareas</t>
        </is>
      </c>
      <c r="H53" s="4" t="inlineStr">
        <is>
          <t>Pruebas Jest</t>
        </is>
      </c>
      <c r="I53" s="4" t="inlineStr">
        <is>
          <t>Sprint_05/Marcelo/</t>
        </is>
      </c>
    </row>
    <row r="54">
      <c r="B54" s="2" t="n">
        <v>46346</v>
      </c>
      <c r="C54" s="3">
        <f>CHOOSE(WEEKDAY(B54,2),"lunes","martes","miércoles","jueves","viernes","sábado","domingo")</f>
        <v/>
      </c>
      <c r="D54" s="3" t="n">
        <v>4</v>
      </c>
      <c r="E54" s="4" t="inlineStr">
        <is>
          <t>Nota y retroalimentación de tareas (RF-20)</t>
        </is>
      </c>
      <c r="F54" s="4" t="inlineStr">
        <is>
          <t>Vista del estudiante con nota y retroalimentación</t>
        </is>
      </c>
      <c r="G54" s="4" t="inlineStr">
        <is>
          <t>Vista de tareas del estudiante</t>
        </is>
      </c>
      <c r="H54" s="4" t="inlineStr">
        <is>
          <t>Capturas</t>
        </is>
      </c>
      <c r="I54" s="4" t="inlineStr">
        <is>
          <t>Sprint_05/Marcelo/</t>
        </is>
      </c>
    </row>
    <row r="55">
      <c r="B55" s="5" t="n">
        <v>46347</v>
      </c>
      <c r="C55" s="6">
        <f>CHOOSE(WEEKDAY(B55,2),"lunes","martes","miércoles","jueves","viernes","sábado","domingo")</f>
        <v/>
      </c>
      <c r="D55" s="6" t="n">
        <v>0</v>
      </c>
      <c r="E55" s="7" t="n"/>
      <c r="F55" s="7" t="n"/>
      <c r="G55" s="7" t="n"/>
      <c r="H55" s="7" t="n"/>
      <c r="I55" s="7" t="n"/>
    </row>
    <row r="56">
      <c r="B56" s="5" t="n">
        <v>46348</v>
      </c>
      <c r="C56" s="6">
        <f>CHOOSE(WEEKDAY(B56,2),"lunes","martes","miércoles","jueves","viernes","sábado","domingo")</f>
        <v/>
      </c>
      <c r="D56" s="6" t="n">
        <v>0</v>
      </c>
      <c r="E56" s="7" t="n"/>
      <c r="F56" s="7" t="n"/>
      <c r="G56" s="7" t="n"/>
      <c r="H56" s="7" t="n"/>
      <c r="I56" s="7" t="n"/>
    </row>
    <row r="57">
      <c r="B57" s="2" t="n">
        <v>46349</v>
      </c>
      <c r="C57" s="3">
        <f>CHOOSE(WEEKDAY(B57,2),"lunes","martes","miércoles","jueves","viernes","sábado","domingo")</f>
        <v/>
      </c>
      <c r="D57" s="3" t="n">
        <v>4</v>
      </c>
      <c r="E57" s="4" t="inlineStr">
        <is>
          <t>Asistencia por materia (RF-21)</t>
        </is>
      </c>
      <c r="F57" s="4" t="inlineStr">
        <is>
          <t>Pruebas de asistencia: faltas, atrasos y justificaciones</t>
        </is>
      </c>
      <c r="G57" s="4" t="inlineStr">
        <is>
          <t>Pruebas de asistencia</t>
        </is>
      </c>
      <c r="H57" s="4" t="inlineStr">
        <is>
          <t>Reporte de Jest</t>
        </is>
      </c>
      <c r="I57" s="4" t="inlineStr">
        <is>
          <t>Sprint_05/Marcelo/</t>
        </is>
      </c>
    </row>
    <row r="58">
      <c r="B58" s="2" t="n">
        <v>46350</v>
      </c>
      <c r="C58" s="3">
        <f>CHOOSE(WEEKDAY(B58,2),"lunes","martes","miércoles","jueves","viernes","sábado","domingo")</f>
        <v/>
      </c>
      <c r="D58" s="3" t="n">
        <v>4</v>
      </c>
      <c r="E58" s="4" t="inlineStr">
        <is>
          <t>Registro de comportamiento (RF-22)</t>
        </is>
      </c>
      <c r="F58" s="4" t="inlineStr">
        <is>
          <t>API de comportamiento con los nueve indicadores y su cálculo</t>
        </is>
      </c>
      <c r="G58" s="4" t="inlineStr">
        <is>
          <t>Endpoints de comportamiento</t>
        </is>
      </c>
      <c r="H58" s="4" t="inlineStr">
        <is>
          <t>Pruebas Jest</t>
        </is>
      </c>
      <c r="I58" s="4" t="inlineStr">
        <is>
          <t>Sprint_05/Marcelo/</t>
        </is>
      </c>
    </row>
    <row r="59">
      <c r="B59" s="2" t="n">
        <v>46351</v>
      </c>
      <c r="C59" s="3">
        <f>CHOOSE(WEEKDAY(B59,2),"lunes","martes","miércoles","jueves","viernes","sábado","domingo")</f>
        <v/>
      </c>
      <c r="D59" s="3" t="n">
        <v>4</v>
      </c>
      <c r="E59" s="4" t="inlineStr">
        <is>
          <t>Parámetros del colegio configurables (RNF-10)</t>
        </is>
      </c>
      <c r="F59" s="4" t="inlineStr">
        <is>
          <t>Pantalla de parámetros para el Administrador</t>
        </is>
      </c>
      <c r="G59" s="4" t="inlineStr">
        <is>
          <t>Pantalla de parámetros</t>
        </is>
      </c>
      <c r="H59" s="4" t="inlineStr">
        <is>
          <t>Capturas</t>
        </is>
      </c>
      <c r="I59" s="4" t="inlineStr">
        <is>
          <t>Sprint_05/Marcelo/</t>
        </is>
      </c>
    </row>
    <row r="60">
      <c r="B60" s="2" t="n">
        <v>46352</v>
      </c>
      <c r="C60" s="3">
        <f>CHOOSE(WEEKDAY(B60,2),"lunes","martes","miércoles","jueves","viernes","sábado","domingo")</f>
        <v/>
      </c>
      <c r="D60" s="3" t="n">
        <v>4</v>
      </c>
      <c r="E60" s="4" t="inlineStr">
        <is>
          <t>Trazabilidad de cambios en notas (RNF-09)</t>
        </is>
      </c>
      <c r="F60" s="4" t="inlineStr">
        <is>
          <t>Auditoría de cambios en notas: valor anterior, nuevo, usuario y fecha</t>
        </is>
      </c>
      <c r="G60" s="4" t="inlineStr">
        <is>
          <t>Auditoría de notas</t>
        </is>
      </c>
      <c r="H60" s="4" t="inlineStr">
        <is>
          <t>Consulta de la auditoría</t>
        </is>
      </c>
      <c r="I60" s="4" t="inlineStr">
        <is>
          <t>Sprint_05/Marcelo/</t>
        </is>
      </c>
    </row>
    <row r="61">
      <c r="B61" s="8" t="n">
        <v>46353</v>
      </c>
      <c r="C61" s="9">
        <f>CHOOSE(WEEKDAY(B61,2),"lunes","martes","miércoles","jueves","viernes","sábado","domingo")</f>
        <v/>
      </c>
      <c r="D61" s="9" t="n">
        <v>4</v>
      </c>
      <c r="E61" s="10" t="inlineStr">
        <is>
          <t>Integración, demostración e informe del sprint 5</t>
        </is>
      </c>
      <c r="F61" s="10" t="inlineStr">
        <is>
          <t>Informe del sprint 5 y tablero actualizado</t>
        </is>
      </c>
      <c r="G61" s="10" t="inlineStr">
        <is>
          <t>Informe del sprint 5</t>
        </is>
      </c>
      <c r="H61" s="10" t="inlineStr">
        <is>
          <t>docs/sprints/sprint5.md en el repositorio</t>
        </is>
      </c>
      <c r="I61" s="10" t="inlineStr">
        <is>
          <t>Sprint_05/Marcelo/</t>
        </is>
      </c>
    </row>
    <row r="62">
      <c r="B62" s="5" t="n">
        <v>46354</v>
      </c>
      <c r="C62" s="6">
        <f>CHOOSE(WEEKDAY(B62,2),"lunes","martes","miércoles","jueves","viernes","sábado","domingo")</f>
        <v/>
      </c>
      <c r="D62" s="6" t="n">
        <v>0</v>
      </c>
      <c r="E62" s="7" t="n"/>
      <c r="F62" s="7" t="n"/>
      <c r="G62" s="7" t="n"/>
      <c r="H62" s="7" t="n"/>
      <c r="I62" s="7" t="n"/>
    </row>
    <row r="63">
      <c r="B63" s="5" t="n">
        <v>46355</v>
      </c>
      <c r="C63" s="6">
        <f>CHOOSE(WEEKDAY(B63,2),"lunes","martes","miércoles","jueves","viernes","sábado","domingo")</f>
        <v/>
      </c>
      <c r="D63" s="6" t="n">
        <v>0</v>
      </c>
      <c r="E63" s="7" t="n"/>
      <c r="F63" s="7" t="n"/>
      <c r="G63" s="7" t="n"/>
      <c r="H63" s="7" t="n"/>
      <c r="I63" s="7" t="n"/>
    </row>
    <row r="64">
      <c r="B64" s="2" t="n">
        <v>46356</v>
      </c>
      <c r="C64" s="3">
        <f>CHOOSE(WEEKDAY(B64,2),"lunes","martes","miércoles","jueves","viernes","sábado","domingo")</f>
        <v/>
      </c>
      <c r="D64" s="3" t="n">
        <v>4</v>
      </c>
      <c r="E64" s="4" t="inlineStr">
        <is>
          <t>Hoja de estándares DA/AA/PA/NA (RF-23)</t>
        </is>
      </c>
      <c r="F64" s="4" t="inlineStr">
        <is>
          <t>Servicio que genera la hoja de estándares a partir de las calificaciones</t>
        </is>
      </c>
      <c r="G64" s="4" t="inlineStr">
        <is>
          <t>Servicio de estándares</t>
        </is>
      </c>
      <c r="H64" s="4" t="inlineStr">
        <is>
          <t>Pruebas Jest contra la hoja oficial</t>
        </is>
      </c>
      <c r="I64" s="4" t="inlineStr">
        <is>
          <t>Sprint_06/Marcelo/</t>
        </is>
      </c>
    </row>
    <row r="65">
      <c r="B65" s="2" t="n">
        <v>46357</v>
      </c>
      <c r="C65" s="3">
        <f>CHOOSE(WEEKDAY(B65,2),"lunes","martes","miércoles","jueves","viernes","sábado","domingo")</f>
        <v/>
      </c>
      <c r="D65" s="3" t="n">
        <v>4</v>
      </c>
      <c r="E65" s="4" t="inlineStr">
        <is>
          <t>Valoración de logros (RF-24)</t>
        </is>
      </c>
      <c r="F65" s="4" t="inlineStr">
        <is>
          <t>Pantalla de valoración de logros con cantidades y porcentajes</t>
        </is>
      </c>
      <c r="G65" s="4" t="inlineStr">
        <is>
          <t>Pantalla de valoración de logros</t>
        </is>
      </c>
      <c r="H65" s="4" t="inlineStr">
        <is>
          <t>Capturas</t>
        </is>
      </c>
      <c r="I65" s="4" t="inlineStr">
        <is>
          <t>Sprint_06/Marcelo/</t>
        </is>
      </c>
    </row>
    <row r="66">
      <c r="B66" s="2" t="n">
        <v>46358</v>
      </c>
      <c r="C66" s="3">
        <f>CHOOSE(WEEKDAY(B66,2),"lunes","martes","miércoles","jueves","viernes","sábado","domingo")</f>
        <v/>
      </c>
      <c r="D66" s="3" t="n">
        <v>4</v>
      </c>
      <c r="E66" s="4" t="inlineStr">
        <is>
          <t>Tablero consolidado del Administrador (RF-25)</t>
        </is>
      </c>
      <c r="F66" s="4" t="inlineStr">
        <is>
          <t>Pruebas de rendimiento de las consultas consolidadas</t>
        </is>
      </c>
      <c r="G66" s="4" t="inlineStr">
        <is>
          <t>Pruebas de consultas</t>
        </is>
      </c>
      <c r="H66" s="4" t="inlineStr">
        <is>
          <t>Tiempos medidos antes y después de índices</t>
        </is>
      </c>
      <c r="I66" s="4" t="inlineStr">
        <is>
          <t>Sprint_06/Marcelo/</t>
        </is>
      </c>
    </row>
    <row r="67">
      <c r="B67" s="2" t="n">
        <v>46359</v>
      </c>
      <c r="C67" s="3">
        <f>CHOOSE(WEEKDAY(B67,2),"lunes","martes","miércoles","jueves","viernes","sábado","domingo")</f>
        <v/>
      </c>
      <c r="D67" s="3" t="n">
        <v>4</v>
      </c>
      <c r="E67" s="4" t="inlineStr">
        <is>
          <t>Importación y exportación de notas en Excel (RF-26, RF-27)</t>
        </is>
      </c>
      <c r="F67" s="4" t="inlineStr">
        <is>
          <t>Exportación a Excel con el formato para los sistemas oficiales</t>
        </is>
      </c>
      <c r="G67" s="4" t="inlineStr">
        <is>
          <t>Exportación a Excel</t>
        </is>
      </c>
      <c r="H67" s="4" t="inlineStr">
        <is>
          <t>Archivo .xlsx generado</t>
        </is>
      </c>
      <c r="I67" s="4" t="inlineStr">
        <is>
          <t>Sprint_06/Marcelo/</t>
        </is>
      </c>
    </row>
    <row r="68">
      <c r="B68" s="2" t="n">
        <v>46360</v>
      </c>
      <c r="C68" s="3">
        <f>CHOOSE(WEEKDAY(B68,2),"lunes","martes","miércoles","jueves","viernes","sábado","domingo")</f>
        <v/>
      </c>
      <c r="D68" s="3" t="n">
        <v>4</v>
      </c>
      <c r="E68" s="4" t="inlineStr">
        <is>
          <t>Tablero, horario y calendario del estudiante (RF-28, RF-37)</t>
        </is>
      </c>
      <c r="F68" s="4" t="inlineStr">
        <is>
          <t>Pantalla del tablero del estudiante con alerta visual bajo 7</t>
        </is>
      </c>
      <c r="G68" s="4" t="inlineStr">
        <is>
          <t>Tablero del estudiante</t>
        </is>
      </c>
      <c r="H68" s="4" t="inlineStr">
        <is>
          <t>Captura con una alerta</t>
        </is>
      </c>
      <c r="I68" s="4" t="inlineStr">
        <is>
          <t>Sprint_06/Marcelo/</t>
        </is>
      </c>
    </row>
    <row r="69">
      <c r="B69" s="5" t="n">
        <v>46361</v>
      </c>
      <c r="C69" s="6">
        <f>CHOOSE(WEEKDAY(B69,2),"lunes","martes","miércoles","jueves","viernes","sábado","domingo")</f>
        <v/>
      </c>
      <c r="D69" s="6" t="n">
        <v>0</v>
      </c>
      <c r="E69" s="7" t="n"/>
      <c r="F69" s="7" t="n"/>
      <c r="G69" s="7" t="n"/>
      <c r="H69" s="7" t="n"/>
      <c r="I69" s="7" t="n"/>
    </row>
    <row r="70">
      <c r="B70" s="5" t="n">
        <v>46362</v>
      </c>
      <c r="C70" s="6">
        <f>CHOOSE(WEEKDAY(B70,2),"lunes","martes","miércoles","jueves","viernes","sábado","domingo")</f>
        <v/>
      </c>
      <c r="D70" s="6" t="n">
        <v>0</v>
      </c>
      <c r="E70" s="7" t="n"/>
      <c r="F70" s="7" t="n"/>
      <c r="G70" s="7" t="n"/>
      <c r="H70" s="7" t="n"/>
      <c r="I70" s="7" t="n"/>
    </row>
    <row r="71">
      <c r="B71" s="2" t="n">
        <v>46363</v>
      </c>
      <c r="C71" s="3">
        <f>CHOOSE(WEEKDAY(B71,2),"lunes","martes","miércoles","jueves","viernes","sábado","domingo")</f>
        <v/>
      </c>
      <c r="D71" s="3" t="n">
        <v>4</v>
      </c>
      <c r="E71" s="4" t="inlineStr">
        <is>
          <t>Vista del representante: notas y asistencia</t>
        </is>
      </c>
      <c r="F71" s="4" t="inlineStr">
        <is>
          <t>API de notas, asistencia y calendario del representado, con el rol Representante limitado a sus representados</t>
        </is>
      </c>
      <c r="G71" s="4" t="inlineStr">
        <is>
          <t>Endpoints y rol del representante</t>
        </is>
      </c>
      <c r="H71" s="4" t="inlineStr">
        <is>
          <t>Pruebas Jest de acceso</t>
        </is>
      </c>
      <c r="I71" s="4" t="inlineStr">
        <is>
          <t>Sprint_06/Marcelo/</t>
        </is>
      </c>
    </row>
    <row r="72">
      <c r="B72" s="8" t="n">
        <v>46364</v>
      </c>
      <c r="C72" s="9">
        <f>CHOOSE(WEEKDAY(B72,2),"lunes","martes","miércoles","jueves","viernes","sábado","domingo")</f>
        <v/>
      </c>
      <c r="D72" s="9" t="n">
        <v>4</v>
      </c>
      <c r="E72" s="10" t="inlineStr">
        <is>
          <t>Integración, demostración e informe del sprint 6</t>
        </is>
      </c>
      <c r="F72" s="10" t="inlineStr">
        <is>
          <t>Demostración de reportes y tableros</t>
        </is>
      </c>
      <c r="G72" s="10" t="inlineStr">
        <is>
          <t>Reportes y tableros</t>
        </is>
      </c>
      <c r="H72" s="10" t="inlineStr">
        <is>
          <t>Grabación o capturas de la demostración</t>
        </is>
      </c>
      <c r="I72" s="10" t="inlineStr">
        <is>
          <t>Sprint_06/Marcelo/</t>
        </is>
      </c>
    </row>
    <row r="73">
      <c r="B73" s="2" t="n">
        <v>46365</v>
      </c>
      <c r="C73" s="3">
        <f>CHOOSE(WEEKDAY(B73,2),"lunes","martes","miércoles","jueves","viernes","sábado","domingo")</f>
        <v/>
      </c>
      <c r="D73" s="3" t="n">
        <v>4</v>
      </c>
      <c r="E73" s="4" t="inlineStr">
        <is>
          <t>Modelo y plantilla de la planificación (RF-09)</t>
        </is>
      </c>
      <c r="F73" s="4" t="inlineStr">
        <is>
          <t>Formulario de la planificación en la PWA: datos informativos, objetivos, ejes transversales, estándar y principios DUA</t>
        </is>
      </c>
      <c r="G73" s="4" t="inlineStr">
        <is>
          <t>Formulario de planificación (parte 1)</t>
        </is>
      </c>
      <c r="H73" s="4" t="inlineStr">
        <is>
          <t>Capturas del formulario</t>
        </is>
      </c>
      <c r="I73" s="4" t="inlineStr">
        <is>
          <t>Sprint_07/Marcelo/</t>
        </is>
      </c>
    </row>
    <row r="74">
      <c r="B74" s="2" t="n">
        <v>46366</v>
      </c>
      <c r="C74" s="3">
        <f>CHOOSE(WEEKDAY(B74,2),"lunes","martes","miércoles","jueves","viernes","sábado","domingo")</f>
        <v/>
      </c>
      <c r="D74" s="3" t="n">
        <v>4</v>
      </c>
      <c r="E74" s="4" t="inlineStr">
        <is>
          <t>Tabla semanal con actividades ERCA (RF-09)</t>
        </is>
      </c>
      <c r="F74" s="4" t="inlineStr">
        <is>
          <t>Tabla semanal en la PWA: conceptos, destrezas, actividades ERCA, recursos, indicador e instrumento</t>
        </is>
      </c>
      <c r="G74" s="4" t="inlineStr">
        <is>
          <t>Formulario de planificación (parte 2)</t>
        </is>
      </c>
      <c r="H74" s="4" t="inlineStr">
        <is>
          <t>Capturas de la tabla semanal</t>
        </is>
      </c>
      <c r="I74" s="4" t="inlineStr">
        <is>
          <t>Sprint_07/Marcelo/</t>
        </is>
      </c>
    </row>
    <row r="75">
      <c r="B75" s="2" t="n">
        <v>46367</v>
      </c>
      <c r="C75" s="3">
        <f>CHOOSE(WEEKDAY(B75,2),"lunes","martes","miércoles","jueves","viernes","sábado","domingo")</f>
        <v/>
      </c>
      <c r="D75" s="3" t="n">
        <v>4</v>
      </c>
      <c r="E75" s="4" t="inlineStr">
        <is>
          <t>Estados de la planificación y envío a revisión (RF-10, RF-11)</t>
        </is>
      </c>
      <c r="F75" s="4" t="inlineStr">
        <is>
          <t>Botones y estados en la PWA; formulario bloqueado mientras está en revisión</t>
        </is>
      </c>
      <c r="G75" s="4" t="inlineStr">
        <is>
          <t>Flujo de estados en la interfaz</t>
        </is>
      </c>
      <c r="H75" s="4" t="inlineStr">
        <is>
          <t>Capturas en cada estado</t>
        </is>
      </c>
      <c r="I75" s="4" t="inlineStr">
        <is>
          <t>Sprint_07/Marcelo/</t>
        </is>
      </c>
    </row>
    <row r="76">
      <c r="B76" s="5" t="n">
        <v>46368</v>
      </c>
      <c r="C76" s="6">
        <f>CHOOSE(WEEKDAY(B76,2),"lunes","martes","miércoles","jueves","viernes","sábado","domingo")</f>
        <v/>
      </c>
      <c r="D76" s="6" t="n">
        <v>0</v>
      </c>
      <c r="E76" s="7" t="n"/>
      <c r="F76" s="7" t="n"/>
      <c r="G76" s="7" t="n"/>
      <c r="H76" s="7" t="n"/>
      <c r="I76" s="7" t="n"/>
    </row>
    <row r="77">
      <c r="B77" s="5" t="n">
        <v>46369</v>
      </c>
      <c r="C77" s="6">
        <f>CHOOSE(WEEKDAY(B77,2),"lunes","martes","miércoles","jueves","viernes","sábado","domingo")</f>
        <v/>
      </c>
      <c r="D77" s="6" t="n">
        <v>0</v>
      </c>
      <c r="E77" s="7" t="n"/>
      <c r="F77" s="7" t="n"/>
      <c r="G77" s="7" t="n"/>
      <c r="H77" s="7" t="n"/>
      <c r="I77" s="7" t="n"/>
    </row>
    <row r="78">
      <c r="B78" s="2" t="n">
        <v>46370</v>
      </c>
      <c r="C78" s="3">
        <f>CHOOSE(WEEKDAY(B78,2),"lunes","martes","miércoles","jueves","viernes","sábado","domingo")</f>
        <v/>
      </c>
      <c r="D78" s="3" t="n">
        <v>4</v>
      </c>
      <c r="E78" s="4" t="inlineStr">
        <is>
          <t>Revisión del Administrador con observaciones (RF-12, RF-13)</t>
        </is>
      </c>
      <c r="F78" s="4" t="inlineStr">
        <is>
          <t>Prueba e2e del flujo enviar → observar → corregir → aprobar</t>
        </is>
      </c>
      <c r="G78" s="4" t="inlineStr">
        <is>
          <t>Prueba e2e de revisión</t>
        </is>
      </c>
      <c r="H78" s="4" t="inlineStr">
        <is>
          <t>Reporte de Playwright en el CI</t>
        </is>
      </c>
      <c r="I78" s="4" t="inlineStr">
        <is>
          <t>Sprint_07/Marcelo/</t>
        </is>
      </c>
    </row>
    <row r="79">
      <c r="B79" s="2" t="n">
        <v>46371</v>
      </c>
      <c r="C79" s="3">
        <f>CHOOSE(WEEKDAY(B79,2),"lunes","martes","miércoles","jueves","viernes","sábado","domingo")</f>
        <v/>
      </c>
      <c r="D79" s="3" t="n">
        <v>4</v>
      </c>
      <c r="E79" s="4" t="inlineStr">
        <is>
          <t>Historial y documento único (RF-14, RNF-09)</t>
        </is>
      </c>
      <c r="F79" s="4" t="inlineStr">
        <is>
          <t>API de historial de revisiones y observaciones de una misma planificación</t>
        </is>
      </c>
      <c r="G79" s="4" t="inlineStr">
        <is>
          <t>Historial de la planificación</t>
        </is>
      </c>
      <c r="H79" s="4" t="inlineStr">
        <is>
          <t>Consulta del historial de una planificación</t>
        </is>
      </c>
      <c r="I79" s="4" t="inlineStr">
        <is>
          <t>Sprint_07/Marcelo/</t>
        </is>
      </c>
    </row>
    <row r="80">
      <c r="B80" s="2" t="n">
        <v>46372</v>
      </c>
      <c r="C80" s="3">
        <f>CHOOSE(WEEKDAY(B80,2),"lunes","martes","miércoles","jueves","viernes","sábado","domingo")</f>
        <v/>
      </c>
      <c r="D80" s="3" t="n">
        <v>4</v>
      </c>
      <c r="E80" s="4" t="inlineStr">
        <is>
          <t>Exportación a Word y PDF con el formato oficial (RF-15)</t>
        </is>
      </c>
      <c r="F80" s="4" t="inlineStr">
        <is>
          <t>Generación del PDF en la API y endpoint de exportación de la planificación aprobada</t>
        </is>
      </c>
      <c r="G80" s="4" t="inlineStr">
        <is>
          <t>Exportación a PDF</t>
        </is>
      </c>
      <c r="H80" s="4" t="inlineStr">
        <is>
          <t>Archivo PDF generado</t>
        </is>
      </c>
      <c r="I80" s="4" t="inlineStr">
        <is>
          <t>Sprint_07/Marcelo/</t>
        </is>
      </c>
    </row>
    <row r="81">
      <c r="B81" s="2" t="n">
        <v>46373</v>
      </c>
      <c r="C81" s="3">
        <f>CHOOSE(WEEKDAY(B81,2),"lunes","martes","miércoles","jueves","viernes","sábado","domingo")</f>
        <v/>
      </c>
      <c r="D81" s="3" t="n">
        <v>4</v>
      </c>
      <c r="E81" s="4" t="inlineStr">
        <is>
          <t>Calendario a partir de la planificación (RF-16)</t>
        </is>
      </c>
      <c r="F81" s="4" t="inlineStr">
        <is>
          <t>API que genera los eventos del calendario a partir de las semanas</t>
        </is>
      </c>
      <c r="G81" s="4" t="inlineStr">
        <is>
          <t>Generador de calendario</t>
        </is>
      </c>
      <c r="H81" s="4" t="inlineStr">
        <is>
          <t>Pruebas Jest</t>
        </is>
      </c>
      <c r="I81" s="4" t="inlineStr">
        <is>
          <t>Sprint_07/Marcelo/</t>
        </is>
      </c>
    </row>
    <row r="82">
      <c r="B82" s="8" t="n">
        <v>46374</v>
      </c>
      <c r="C82" s="9">
        <f>CHOOSE(WEEKDAY(B82,2),"lunes","martes","miércoles","jueves","viernes","sábado","domingo")</f>
        <v/>
      </c>
      <c r="D82" s="9" t="n">
        <v>4</v>
      </c>
      <c r="E82" s="10" t="inlineStr">
        <is>
          <t>Integración, demostración e informe del sprint 7</t>
        </is>
      </c>
      <c r="F82" s="10" t="inlineStr">
        <is>
          <t>PR dev → test con el módulo de planificación</t>
        </is>
      </c>
      <c r="G82" s="10" t="inlineStr">
        <is>
          <t>PR del sprint 7</t>
        </is>
      </c>
      <c r="H82" s="10" t="inlineStr">
        <is>
          <t>PR unido a test con el CI en verde</t>
        </is>
      </c>
      <c r="I82" s="10" t="inlineStr">
        <is>
          <t>Sprint_07/Marcelo/</t>
        </is>
      </c>
    </row>
    <row r="83">
      <c r="B83" s="5" t="n">
        <v>46375</v>
      </c>
      <c r="C83" s="6">
        <f>CHOOSE(WEEKDAY(B83,2),"lunes","martes","miércoles","jueves","viernes","sábado","domingo")</f>
        <v/>
      </c>
      <c r="D83" s="6" t="n">
        <v>0</v>
      </c>
      <c r="E83" s="7" t="n"/>
      <c r="F83" s="7" t="n"/>
      <c r="G83" s="7" t="n"/>
      <c r="H83" s="7" t="n"/>
      <c r="I83" s="7" t="n"/>
    </row>
    <row r="84">
      <c r="B84" s="5" t="n">
        <v>46376</v>
      </c>
      <c r="C84" s="6">
        <f>CHOOSE(WEEKDAY(B84,2),"lunes","martes","miércoles","jueves","viernes","sábado","domingo")</f>
        <v/>
      </c>
      <c r="D84" s="6" t="n">
        <v>0</v>
      </c>
      <c r="E84" s="7" t="n"/>
      <c r="F84" s="7" t="n"/>
      <c r="G84" s="7" t="n"/>
      <c r="H84" s="7" t="n"/>
      <c r="I84" s="7" t="n"/>
    </row>
    <row r="85">
      <c r="B85" s="2" t="n">
        <v>46377</v>
      </c>
      <c r="C85" s="3">
        <f>CHOOSE(WEEKDAY(B85,2),"lunes","martes","miércoles","jueves","viernes","sábado","domingo")</f>
        <v/>
      </c>
      <c r="D85" s="3" t="n">
        <v>4</v>
      </c>
      <c r="E85" s="4" t="inlineStr">
        <is>
          <t>Preparación de WhatsApp y consentimiento del representante</t>
        </is>
      </c>
      <c r="F85" s="4" t="inlineStr">
        <is>
          <t>Modelo de datos de notificaciones (fecha, destinatario, motivo, estado)</t>
        </is>
      </c>
      <c r="G85" s="4" t="inlineStr">
        <is>
          <t>Modelo de notificaciones</t>
        </is>
      </c>
      <c r="H85" s="4" t="inlineStr">
        <is>
          <t>Migración aplicada</t>
        </is>
      </c>
      <c r="I85" s="4" t="inlineStr">
        <is>
          <t>Sprint_08/Marcelo/</t>
        </is>
      </c>
    </row>
    <row r="86">
      <c r="B86" s="2" t="n">
        <v>46378</v>
      </c>
      <c r="C86" s="3">
        <f>CHOOSE(WEEKDAY(B86,2),"lunes","martes","miércoles","jueves","viernes","sábado","domingo")</f>
        <v/>
      </c>
      <c r="D86" s="3" t="n">
        <v>4</v>
      </c>
      <c r="E86" s="4" t="inlineStr">
        <is>
          <t>Adaptador de WhatsApp y plantillas de mensajes (RNF-05)</t>
        </is>
      </c>
      <c r="F86" s="4" t="inlineStr">
        <is>
          <t>Adaptador de mensajería con proveedor WhatsApp Cloud API y proveedor simulado</t>
        </is>
      </c>
      <c r="G86" s="4" t="inlineStr">
        <is>
          <t>Adaptador de WhatsApp</t>
        </is>
      </c>
      <c r="H86" s="4" t="inlineStr">
        <is>
          <t>Pruebas Jest con el proveedor simulado</t>
        </is>
      </c>
      <c r="I86" s="4" t="inlineStr">
        <is>
          <t>Sprint_08/Marcelo/</t>
        </is>
      </c>
    </row>
    <row r="87">
      <c r="B87" s="2" t="n">
        <v>46379</v>
      </c>
      <c r="C87" s="3">
        <f>CHOOSE(WEEKDAY(B87,2),"lunes","martes","miércoles","jueves","viernes","sábado","domingo")</f>
        <v/>
      </c>
      <c r="D87" s="3" t="n">
        <v>4</v>
      </c>
      <c r="E87" s="4" t="inlineStr">
        <is>
          <t>Avisos automáticos por promedio y faltas (RF-30, RF-31, RF-35)</t>
        </is>
      </c>
      <c r="F87" s="4" t="inlineStr">
        <is>
          <t>Cola de salida con reintentos para avisos generados sin conexión</t>
        </is>
      </c>
      <c r="G87" s="4" t="inlineStr">
        <is>
          <t>Cola de salida</t>
        </is>
      </c>
      <c r="H87" s="4" t="inlineStr">
        <is>
          <t>Prueba de envío diferido</t>
        </is>
      </c>
      <c r="I87" s="4" t="inlineStr">
        <is>
          <t>Sprint_08/Marcelo/</t>
        </is>
      </c>
    </row>
    <row r="88">
      <c r="B88" s="2" t="n">
        <v>46380</v>
      </c>
      <c r="C88" s="3">
        <f>CHOOSE(WEEKDAY(B88,2),"lunes","martes","miércoles","jueves","viernes","sábado","domingo")</f>
        <v/>
      </c>
      <c r="D88" s="3" t="n">
        <v>4</v>
      </c>
      <c r="E88" s="4" t="inlineStr">
        <is>
          <t>Antiduplicados y avisos de tareas (RF-32, RF-34)</t>
        </is>
      </c>
      <c r="F88" s="4" t="inlineStr">
        <is>
          <t>Avisos de tareas próximas y comunicados institucionales</t>
        </is>
      </c>
      <c r="G88" s="4" t="inlineStr">
        <is>
          <t>Avisos de tareas</t>
        </is>
      </c>
      <c r="H88" s="4" t="inlineStr">
        <is>
          <t>Pruebas Jest</t>
        </is>
      </c>
      <c r="I88" s="4" t="inlineStr">
        <is>
          <t>Sprint_08/Marcelo/</t>
        </is>
      </c>
    </row>
    <row r="89">
      <c r="B89" s="5" t="n">
        <v>46381</v>
      </c>
      <c r="C89" s="6">
        <f>CHOOSE(WEEKDAY(B89,2),"lunes","martes","miércoles","jueves","viernes","sábado","domingo")</f>
        <v/>
      </c>
      <c r="D89" s="6" t="n">
        <v>0</v>
      </c>
      <c r="E89" s="7" t="inlineStr">
        <is>
          <t>Feriado: Navidad</t>
        </is>
      </c>
      <c r="F89" s="7" t="n"/>
      <c r="G89" s="7" t="n"/>
      <c r="H89" s="7" t="n"/>
      <c r="I89" s="7" t="n"/>
    </row>
    <row r="90">
      <c r="B90" s="5" t="n">
        <v>46382</v>
      </c>
      <c r="C90" s="6">
        <f>CHOOSE(WEEKDAY(B90,2),"lunes","martes","miércoles","jueves","viernes","sábado","domingo")</f>
        <v/>
      </c>
      <c r="D90" s="6" t="n">
        <v>0</v>
      </c>
      <c r="E90" s="7" t="n"/>
      <c r="F90" s="7" t="n"/>
      <c r="G90" s="7" t="n"/>
      <c r="H90" s="7" t="n"/>
      <c r="I90" s="7" t="n"/>
    </row>
    <row r="91">
      <c r="B91" s="5" t="n">
        <v>46383</v>
      </c>
      <c r="C91" s="6">
        <f>CHOOSE(WEEKDAY(B91,2),"lunes","martes","miércoles","jueves","viernes","sábado","domingo")</f>
        <v/>
      </c>
      <c r="D91" s="6" t="n">
        <v>0</v>
      </c>
      <c r="E91" s="7" t="n"/>
      <c r="F91" s="7" t="n"/>
      <c r="G91" s="7" t="n"/>
      <c r="H91" s="7" t="n"/>
      <c r="I91" s="7" t="n"/>
    </row>
    <row r="92">
      <c r="B92" s="2" t="n">
        <v>46384</v>
      </c>
      <c r="C92" s="3">
        <f>CHOOSE(WEEKDAY(B92,2),"lunes","martes","miércoles","jueves","viernes","sábado","domingo")</f>
        <v/>
      </c>
      <c r="D92" s="3" t="n">
        <v>4</v>
      </c>
      <c r="E92" s="4" t="inlineStr">
        <is>
          <t>Historial de notificaciones (RF-33) e integración</t>
        </is>
      </c>
      <c r="F92" s="4" t="inlineStr">
        <is>
          <t>API del historial de notificaciones</t>
        </is>
      </c>
      <c r="G92" s="4" t="inlineStr">
        <is>
          <t>Endpoints de historial</t>
        </is>
      </c>
      <c r="H92" s="4" t="inlineStr">
        <is>
          <t>Pruebas Jest</t>
        </is>
      </c>
      <c r="I92" s="4" t="inlineStr">
        <is>
          <t>Sprint_08/Marcelo/</t>
        </is>
      </c>
    </row>
    <row r="93">
      <c r="B93" s="8" t="n">
        <v>46385</v>
      </c>
      <c r="C93" s="9">
        <f>CHOOSE(WEEKDAY(B93,2),"lunes","martes","miércoles","jueves","viernes","sábado","domingo")</f>
        <v/>
      </c>
      <c r="D93" s="9" t="n">
        <v>4</v>
      </c>
      <c r="E93" s="10" t="inlineStr">
        <is>
          <t>Integración, demostración e informe del sprint 8</t>
        </is>
      </c>
      <c r="F93" s="10" t="inlineStr">
        <is>
          <t>Informe del sprint 8 y tablero actualizado</t>
        </is>
      </c>
      <c r="G93" s="10" t="inlineStr">
        <is>
          <t>Informe del sprint 8</t>
        </is>
      </c>
      <c r="H93" s="10" t="inlineStr">
        <is>
          <t>docs/sprints/sprint8.md en el repositorio</t>
        </is>
      </c>
      <c r="I93" s="10" t="inlineStr">
        <is>
          <t>Sprint_08/Marcelo/</t>
        </is>
      </c>
    </row>
    <row r="94">
      <c r="B94" s="2" t="n">
        <v>46386</v>
      </c>
      <c r="C94" s="3">
        <f>CHOOSE(WEEKDAY(B94,2),"lunes","martes","miércoles","jueves","viernes","sábado","domingo")</f>
        <v/>
      </c>
      <c r="D94" s="3" t="n">
        <v>4</v>
      </c>
      <c r="E94" s="4" t="inlineStr">
        <is>
          <t>Almacenamiento local y service worker (RNF-01)</t>
        </is>
      </c>
      <c r="F94" s="4" t="inlineStr">
        <is>
          <t>Base local en IndexedDB (Dexie) con los datos que usa el docente</t>
        </is>
      </c>
      <c r="G94" s="4" t="inlineStr">
        <is>
          <t>Almacenamiento local</t>
        </is>
      </c>
      <c r="H94" s="4" t="inlineStr">
        <is>
          <t>Captura de IndexedDB en las herramientas del navegador</t>
        </is>
      </c>
      <c r="I94" s="4" t="inlineStr">
        <is>
          <t>Sprint_09/Marcelo/</t>
        </is>
      </c>
    </row>
    <row r="95">
      <c r="B95" s="2" t="n">
        <v>46387</v>
      </c>
      <c r="C95" s="3">
        <f>CHOOSE(WEEKDAY(B95,2),"lunes","martes","miércoles","jueves","viernes","sábado","domingo")</f>
        <v/>
      </c>
      <c r="D95" s="3" t="n">
        <v>4</v>
      </c>
      <c r="E95" s="4" t="inlineStr">
        <is>
          <t>Cola de cambios sin conexión</t>
        </is>
      </c>
      <c r="F95" s="4" t="inlineStr">
        <is>
          <t>Cola local de cambios (notas, asistencia y planificación)</t>
        </is>
      </c>
      <c r="G95" s="4" t="inlineStr">
        <is>
          <t>Cola local de cambios</t>
        </is>
      </c>
      <c r="H95" s="4" t="inlineStr">
        <is>
          <t>Pruebas unitarias de la cola</t>
        </is>
      </c>
      <c r="I95" s="4" t="inlineStr">
        <is>
          <t>Sprint_09/Marcelo/</t>
        </is>
      </c>
    </row>
    <row r="96">
      <c r="B96" s="5" t="n">
        <v>46388</v>
      </c>
      <c r="C96" s="6">
        <f>CHOOSE(WEEKDAY(B96,2),"lunes","martes","miércoles","jueves","viernes","sábado","domingo")</f>
        <v/>
      </c>
      <c r="D96" s="6" t="n">
        <v>0</v>
      </c>
      <c r="E96" s="7" t="inlineStr">
        <is>
          <t>Feriado: Año Nuevo</t>
        </is>
      </c>
      <c r="F96" s="7" t="n"/>
      <c r="G96" s="7" t="n"/>
      <c r="H96" s="7" t="n"/>
      <c r="I96" s="7" t="n"/>
    </row>
    <row r="97">
      <c r="B97" s="5" t="n">
        <v>46389</v>
      </c>
      <c r="C97" s="6">
        <f>CHOOSE(WEEKDAY(B97,2),"lunes","martes","miércoles","jueves","viernes","sábado","domingo")</f>
        <v/>
      </c>
      <c r="D97" s="6" t="n">
        <v>0</v>
      </c>
      <c r="E97" s="7" t="n"/>
      <c r="F97" s="7" t="n"/>
      <c r="G97" s="7" t="n"/>
      <c r="H97" s="7" t="n"/>
      <c r="I97" s="7" t="n"/>
    </row>
    <row r="98">
      <c r="B98" s="5" t="n">
        <v>46390</v>
      </c>
      <c r="C98" s="6">
        <f>CHOOSE(WEEKDAY(B98,2),"lunes","martes","miércoles","jueves","viernes","sábado","domingo")</f>
        <v/>
      </c>
      <c r="D98" s="6" t="n">
        <v>0</v>
      </c>
      <c r="E98" s="7" t="n"/>
      <c r="F98" s="7" t="n"/>
      <c r="G98" s="7" t="n"/>
      <c r="H98" s="7" t="n"/>
      <c r="I98" s="7" t="n"/>
    </row>
    <row r="99">
      <c r="B99" s="2" t="n">
        <v>46391</v>
      </c>
      <c r="C99" s="3">
        <f>CHOOSE(WEEKDAY(B99,2),"lunes","martes","miércoles","jueves","viernes","sábado","domingo")</f>
        <v/>
      </c>
      <c r="D99" s="3" t="n">
        <v>4</v>
      </c>
      <c r="E99" s="4" t="inlineStr">
        <is>
          <t>Sincronización y conflictos</t>
        </is>
      </c>
      <c r="F99" s="4" t="inlineStr">
        <is>
          <t>Pruebas de la sincronización con varios dispositivos</t>
        </is>
      </c>
      <c r="G99" s="4" t="inlineStr">
        <is>
          <t>Pruebas de sincronización</t>
        </is>
      </c>
      <c r="H99" s="4" t="inlineStr">
        <is>
          <t>Reporte de pruebas</t>
        </is>
      </c>
      <c r="I99" s="4" t="inlineStr">
        <is>
          <t>Sprint_09/Marcelo/</t>
        </is>
      </c>
    </row>
    <row r="100">
      <c r="B100" s="2" t="n">
        <v>46392</v>
      </c>
      <c r="C100" s="3">
        <f>CHOOSE(WEEKDAY(B100,2),"lunes","martes","miércoles","jueves","viernes","sábado","domingo")</f>
        <v/>
      </c>
      <c r="D100" s="3" t="n">
        <v>4</v>
      </c>
      <c r="E100" s="4" t="inlineStr">
        <is>
          <t>Pruebas del modo sin conexión</t>
        </is>
      </c>
      <c r="F100" s="4" t="inlineStr">
        <is>
          <t>Prueba e2e con la red desconectada en Playwright</t>
        </is>
      </c>
      <c r="G100" s="4" t="inlineStr">
        <is>
          <t>Prueba e2e sin conexión</t>
        </is>
      </c>
      <c r="H100" s="4" t="inlineStr">
        <is>
          <t>Reporte de Playwright</t>
        </is>
      </c>
      <c r="I100" s="4" t="inlineStr">
        <is>
          <t>Sprint_09/Marcelo/</t>
        </is>
      </c>
    </row>
    <row r="101">
      <c r="B101" s="2" t="n">
        <v>46393</v>
      </c>
      <c r="C101" s="3">
        <f>CHOOSE(WEEKDAY(B101,2),"lunes","martes","miércoles","jueves","viernes","sábado","domingo")</f>
        <v/>
      </c>
      <c r="D101" s="3" t="n">
        <v>4</v>
      </c>
      <c r="E101" s="4" t="inlineStr">
        <is>
          <t>Integración del trabajo sin conexión y PWA instalable</t>
        </is>
      </c>
      <c r="F101" s="4" t="inlineStr">
        <is>
          <t>Corrección de errores e integración en dev</t>
        </is>
      </c>
      <c r="G101" s="4" t="inlineStr">
        <is>
          <t>Módulo integrado</t>
        </is>
      </c>
      <c r="H101" s="4" t="inlineStr">
        <is>
          <t>Ejecución del CI en verde</t>
        </is>
      </c>
      <c r="I101" s="4" t="inlineStr">
        <is>
          <t>Sprint_09/Marcelo/</t>
        </is>
      </c>
    </row>
    <row r="102">
      <c r="B102" s="2" t="n">
        <v>46394</v>
      </c>
      <c r="C102" s="3">
        <f>CHOOSE(WEEKDAY(B102,2),"lunes","martes","miércoles","jueves","viernes","sábado","domingo")</f>
        <v/>
      </c>
      <c r="D102" s="3" t="n">
        <v>4</v>
      </c>
      <c r="E102" s="4" t="inlineStr">
        <is>
          <t>Rendimiento con usuarios simultáneos (RNF-06)</t>
        </is>
      </c>
      <c r="F102" s="4" t="inlineStr">
        <is>
          <t>Optimización de consultas e índices de la base de datos</t>
        </is>
      </c>
      <c r="G102" s="4" t="inlineStr">
        <is>
          <t>Optimización de la BD</t>
        </is>
      </c>
      <c r="H102" s="4" t="inlineStr">
        <is>
          <t>Tiempos antes y después</t>
        </is>
      </c>
      <c r="I102" s="4" t="inlineStr">
        <is>
          <t>Sprint_09/Marcelo/</t>
        </is>
      </c>
    </row>
    <row r="103">
      <c r="B103" s="8" t="n">
        <v>46395</v>
      </c>
      <c r="C103" s="9">
        <f>CHOOSE(WEEKDAY(B103,2),"lunes","martes","miércoles","jueves","viernes","sábado","domingo")</f>
        <v/>
      </c>
      <c r="D103" s="9" t="n">
        <v>4</v>
      </c>
      <c r="E103" s="10" t="inlineStr">
        <is>
          <t>Integración, demostración e informe del sprint 9</t>
        </is>
      </c>
      <c r="F103" s="10" t="inlineStr">
        <is>
          <t>PR dev → test con el trabajo sin conexión</t>
        </is>
      </c>
      <c r="G103" s="10" t="inlineStr">
        <is>
          <t>PR del sprint 9</t>
        </is>
      </c>
      <c r="H103" s="10" t="inlineStr">
        <is>
          <t>PR unido a test con el CI en verde</t>
        </is>
      </c>
      <c r="I103" s="10" t="inlineStr">
        <is>
          <t>Sprint_09/Marcelo/</t>
        </is>
      </c>
    </row>
    <row r="104">
      <c r="B104" s="5" t="n">
        <v>46396</v>
      </c>
      <c r="C104" s="6">
        <f>CHOOSE(WEEKDAY(B104,2),"lunes","martes","miércoles","jueves","viernes","sábado","domingo")</f>
        <v/>
      </c>
      <c r="D104" s="6" t="n">
        <v>0</v>
      </c>
      <c r="E104" s="7" t="n"/>
      <c r="F104" s="7" t="n"/>
      <c r="G104" s="7" t="n"/>
      <c r="H104" s="7" t="n"/>
      <c r="I104" s="7" t="n"/>
    </row>
    <row r="105">
      <c r="B105" s="5" t="n">
        <v>46397</v>
      </c>
      <c r="C105" s="6">
        <f>CHOOSE(WEEKDAY(B105,2),"lunes","martes","miércoles","jueves","viernes","sábado","domingo")</f>
        <v/>
      </c>
      <c r="D105" s="6" t="n">
        <v>0</v>
      </c>
      <c r="E105" s="7" t="n"/>
      <c r="F105" s="7" t="n"/>
      <c r="G105" s="7" t="n"/>
      <c r="H105" s="7" t="n"/>
      <c r="I105" s="7" t="n"/>
    </row>
    <row r="106">
      <c r="B106" s="2" t="n">
        <v>46398</v>
      </c>
      <c r="C106" s="3">
        <f>CHOOSE(WEEKDAY(B106,2),"lunes","martes","miércoles","jueves","viernes","sábado","domingo")</f>
        <v/>
      </c>
      <c r="D106" s="3" t="n">
        <v>4</v>
      </c>
      <c r="E106" s="4" t="inlineStr">
        <is>
          <t>Pruebas de aceptación con los criterios del SRS</t>
        </is>
      </c>
      <c r="F106" s="4" t="inlineStr">
        <is>
          <t>Criterio 2: notas del 9no EGB 'A' idénticas a la hoja oficial</t>
        </is>
      </c>
      <c r="G106" s="4" t="inlineStr">
        <is>
          <t>Aceptación de cálculos</t>
        </is>
      </c>
      <c r="H106" s="4" t="inlineStr">
        <is>
          <t>Reporte de comparación</t>
        </is>
      </c>
      <c r="I106" s="4" t="inlineStr">
        <is>
          <t>Sprint_10/Marcelo/</t>
        </is>
      </c>
    </row>
    <row r="107">
      <c r="B107" s="2" t="n">
        <v>46399</v>
      </c>
      <c r="C107" s="3">
        <f>CHOOSE(WEEKDAY(B107,2),"lunes","martes","miércoles","jueves","viernes","sábado","domingo")</f>
        <v/>
      </c>
      <c r="D107" s="3" t="n">
        <v>4</v>
      </c>
      <c r="E107" s="4" t="inlineStr">
        <is>
          <t>Corrección de hallazgos y pruebas finales</t>
        </is>
      </c>
      <c r="F107" s="4" t="inlineStr">
        <is>
          <t>Corrección de errores del backend</t>
        </is>
      </c>
      <c r="G107" s="4" t="inlineStr">
        <is>
          <t>Correcciones del backend</t>
        </is>
      </c>
      <c r="H107" s="4" t="inlineStr">
        <is>
          <t>Ejecución del CI en verde</t>
        </is>
      </c>
      <c r="I107" s="4" t="inlineStr">
        <is>
          <t>Sprint_10/Marcelo/</t>
        </is>
      </c>
    </row>
    <row r="108">
      <c r="B108" s="2" t="n">
        <v>46400</v>
      </c>
      <c r="C108" s="3">
        <f>CHOOSE(WEEKDAY(B108,2),"lunes","martes","miércoles","jueves","viernes","sábado","domingo")</f>
        <v/>
      </c>
      <c r="D108" s="3" t="n">
        <v>4</v>
      </c>
      <c r="E108" s="4" t="inlineStr">
        <is>
          <t>Despliegue final y release</t>
        </is>
      </c>
      <c r="F108" s="4" t="inlineStr">
        <is>
          <t>Respaldo periódico de la base de datos y prueba de restauración (RNF-08)</t>
        </is>
      </c>
      <c r="G108" s="4" t="inlineStr">
        <is>
          <t>Respaldos</t>
        </is>
      </c>
      <c r="H108" s="4" t="inlineStr">
        <is>
          <t>Prueba de restauración documentada</t>
        </is>
      </c>
      <c r="I108" s="4" t="inlineStr">
        <is>
          <t>Sprint_10/Marcelo/</t>
        </is>
      </c>
    </row>
    <row r="109">
      <c r="B109" s="2" t="n">
        <v>46401</v>
      </c>
      <c r="C109" s="3">
        <f>CHOOSE(WEEKDAY(B109,2),"lunes","martes","miércoles","jueves","viernes","sábado","domingo")</f>
        <v/>
      </c>
      <c r="D109" s="3" t="n">
        <v>4</v>
      </c>
      <c r="E109" s="4" t="inlineStr">
        <is>
          <t>Documentación y capacitación (RNF-11)</t>
        </is>
      </c>
      <c r="F109" s="4" t="inlineStr">
        <is>
          <t>Documentación técnica y de la API</t>
        </is>
      </c>
      <c r="G109" s="4" t="inlineStr">
        <is>
          <t>Documentación técnica</t>
        </is>
      </c>
      <c r="H109" s="4" t="inlineStr">
        <is>
          <t>Documentación en el repositorio</t>
        </is>
      </c>
      <c r="I109" s="4" t="inlineStr">
        <is>
          <t>Sprint_10/Marcelo/</t>
        </is>
      </c>
    </row>
    <row r="110">
      <c r="B110" s="8" t="n">
        <v>46402</v>
      </c>
      <c r="C110" s="9">
        <f>CHOOSE(WEEKDAY(B110,2),"lunes","martes","miércoles","jueves","viernes","sábado","domingo")</f>
        <v/>
      </c>
      <c r="D110" s="9" t="n">
        <v>4</v>
      </c>
      <c r="E110" s="10" t="inlineStr">
        <is>
          <t>Presentación final y entrega</t>
        </is>
      </c>
      <c r="F110" s="10" t="inlineStr">
        <is>
          <t>Informe final del proyecto</t>
        </is>
      </c>
      <c r="G110" s="10" t="inlineStr">
        <is>
          <t>Informe final</t>
        </is>
      </c>
      <c r="H110" s="10" t="inlineStr">
        <is>
          <t>Informe en el repositorio</t>
        </is>
      </c>
      <c r="I110" s="10" t="inlineStr">
        <is>
          <t>Sprint_10/Marcelo/</t>
        </is>
      </c>
    </row>
    <row r="111">
      <c r="C111" s="11" t="inlineStr">
        <is>
          <t>Total horas</t>
        </is>
      </c>
      <c r="D111" s="11">
        <f>SUM(D3:D110)</f>
        <v/>
      </c>
    </row>
  </sheetData>
  <hyperlinks>
    <hyperlink xmlns:r="http://schemas.openxmlformats.org/officeDocument/2006/relationships" ref="G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1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8" customWidth="1" min="4" max="4"/>
    <col width="38" customWidth="1" min="5" max="5"/>
    <col width="60" customWidth="1" min="6" max="6"/>
    <col width="36" customWidth="1" min="7" max="7"/>
    <col width="42" customWidth="1" min="8" max="8"/>
    <col width="24" customWidth="1" min="9" max="9"/>
  </cols>
  <sheetData>
    <row r="1">
      <c r="B1" s="12" t="inlineStr">
        <is>
          <t>Abner Arboleda – Participante 2: responsable de DevSecOps, CI/CD y seguridad (rota en los módulos)</t>
        </is>
      </c>
      <c r="G1" s="13" t="inlineStr">
        <is>
          <t>Evidencias en Google Drive (abrir carpeta)</t>
        </is>
      </c>
    </row>
    <row r="2">
      <c r="B2" s="1" t="inlineStr">
        <is>
          <t>Fecha</t>
        </is>
      </c>
      <c r="C2" s="1" t="inlineStr">
        <is>
          <t>Dia</t>
        </is>
      </c>
      <c r="D2" s="1" t="inlineStr">
        <is>
          <t>Horas</t>
        </is>
      </c>
      <c r="E2" s="1" t="inlineStr">
        <is>
          <t>Actividad</t>
        </is>
      </c>
      <c r="F2" s="1" t="inlineStr">
        <is>
          <t>Subactividad</t>
        </is>
      </c>
      <c r="G2" s="1" t="inlineStr">
        <is>
          <t>Entregable</t>
        </is>
      </c>
      <c r="H2" s="1" t="inlineStr">
        <is>
          <t>Evidencia</t>
        </is>
      </c>
      <c r="I2" s="1" t="inlineStr">
        <is>
          <t>Carpeta en Drive</t>
        </is>
      </c>
    </row>
    <row r="3">
      <c r="B3" s="2" t="n">
        <v>46295</v>
      </c>
      <c r="C3" s="3">
        <f>CHOOSE(WEEKDAY(B3,2),"lunes","martes","miércoles","jueves","viernes","sábado","domingo")</f>
        <v/>
      </c>
      <c r="D3" s="3" t="n">
        <v>4</v>
      </c>
      <c r="E3" s="4" t="inlineStr">
        <is>
          <t>Definición del tema del proyecto y del cliente</t>
        </is>
      </c>
      <c r="F3" s="4" t="inlineStr">
        <is>
          <t>Recolección de los documentos reales del colegio: PUD, hojas de calificaciones, comportamiento y valoración de logros</t>
        </is>
      </c>
      <c r="G3" s="4" t="inlineStr">
        <is>
          <t>Inventario de documentos del cliente</t>
        </is>
      </c>
      <c r="H3" s="4" t="inlineStr">
        <is>
          <t>Lista de documentos recibidos en el Drive</t>
        </is>
      </c>
      <c r="I3" s="4" t="inlineStr">
        <is>
          <t>Sprint_01/Abner/</t>
        </is>
      </c>
    </row>
    <row r="4">
      <c r="B4" s="2" t="n">
        <v>46296</v>
      </c>
      <c r="C4" s="3">
        <f>CHOOSE(WEEKDAY(B4,2),"lunes","martes","miércoles","jueves","viernes","sábado","domingo")</f>
        <v/>
      </c>
      <c r="D4" s="3" t="n">
        <v>4</v>
      </c>
      <c r="E4" s="4" t="inlineStr">
        <is>
          <t>Problemática y necesidad del proyecto</t>
        </is>
      </c>
      <c r="F4" s="4" t="inlineStr">
        <is>
          <t>A quién afecta y consecuencias de no resolverlo</t>
        </is>
      </c>
      <c r="G4" s="4" t="inlineStr">
        <is>
          <t>Afectados y consecuencias</t>
        </is>
      </c>
      <c r="H4" s="4" t="inlineStr">
        <is>
          <t>Borrador del Entregable 1 en el Drive</t>
        </is>
      </c>
      <c r="I4" s="4" t="inlineStr">
        <is>
          <t>Sprint_01/Abner/</t>
        </is>
      </c>
    </row>
    <row r="5">
      <c r="B5" s="2" t="n">
        <v>46297</v>
      </c>
      <c r="C5" s="3">
        <f>CHOOSE(WEEKDAY(B5,2),"lunes","martes","miércoles","jueves","viernes","sábado","domingo")</f>
        <v/>
      </c>
      <c r="D5" s="3" t="n">
        <v>4</v>
      </c>
      <c r="E5" s="4" t="inlineStr">
        <is>
          <t>Matriz del ciclo de vida (SDLC) aplicada al proyecto</t>
        </is>
      </c>
      <c r="F5" s="4" t="inlineStr">
        <is>
          <t>Fases 4 a 6: diseño, construcción y pruebas</t>
        </is>
      </c>
      <c r="G5" s="4" t="inlineStr">
        <is>
          <t>Matriz SDLC (parte 2)</t>
        </is>
      </c>
      <c r="H5" s="4" t="inlineStr">
        <is>
          <t>Matriz en el borrador del Entregable 1</t>
        </is>
      </c>
      <c r="I5" s="4" t="inlineStr">
        <is>
          <t>Sprint_01/Abner/</t>
        </is>
      </c>
    </row>
    <row r="6">
      <c r="B6" s="5" t="n">
        <v>46298</v>
      </c>
      <c r="C6" s="6">
        <f>CHOOSE(WEEKDAY(B6,2),"lunes","martes","miércoles","jueves","viernes","sábado","domingo")</f>
        <v/>
      </c>
      <c r="D6" s="6" t="n">
        <v>0</v>
      </c>
      <c r="E6" s="7" t="n"/>
      <c r="F6" s="7" t="n"/>
      <c r="G6" s="7" t="n"/>
      <c r="H6" s="7" t="n"/>
      <c r="I6" s="7" t="n"/>
    </row>
    <row r="7">
      <c r="B7" s="5" t="n">
        <v>46299</v>
      </c>
      <c r="C7" s="6">
        <f>CHOOSE(WEEKDAY(B7,2),"lunes","martes","miércoles","jueves","viernes","sábado","domingo")</f>
        <v/>
      </c>
      <c r="D7" s="6" t="n">
        <v>0</v>
      </c>
      <c r="E7" s="7" t="n"/>
      <c r="F7" s="7" t="n"/>
      <c r="G7" s="7" t="n"/>
      <c r="H7" s="7" t="n"/>
      <c r="I7" s="7" t="n"/>
    </row>
    <row r="8">
      <c r="B8" s="2" t="n">
        <v>46300</v>
      </c>
      <c r="C8" s="3">
        <f>CHOOSE(WEEKDAY(B8,2),"lunes","martes","miércoles","jueves","viernes","sábado","domingo")</f>
        <v/>
      </c>
      <c r="D8" s="3" t="n">
        <v>4</v>
      </c>
      <c r="E8" s="4" t="inlineStr">
        <is>
          <t>Relación necesidad → requisito → artefacto</t>
        </is>
      </c>
      <c r="F8" s="4" t="inlineStr">
        <is>
          <t>Necesidades 3 y 4: valoración de logros y avisos a padres</t>
        </is>
      </c>
      <c r="G8" s="4" t="inlineStr">
        <is>
          <t>Filas 3 y 4 de la tabla</t>
        </is>
      </c>
      <c r="H8" s="4" t="inlineStr">
        <is>
          <t>Tabla en el borrador del Entregable 1</t>
        </is>
      </c>
      <c r="I8" s="4" t="inlineStr">
        <is>
          <t>Sprint_01/Abner/</t>
        </is>
      </c>
    </row>
    <row r="9">
      <c r="B9" s="8" t="n">
        <v>46301</v>
      </c>
      <c r="C9" s="9">
        <f>CHOOSE(WEEKDAY(B9,2),"lunes","martes","miércoles","jueves","viernes","sábado","domingo")</f>
        <v/>
      </c>
      <c r="D9" s="9" t="n">
        <v>4</v>
      </c>
      <c r="E9" s="10" t="inlineStr">
        <is>
          <t>Revisión y entrega del Entregable 1 (Propuesta de SI) – cierre del sprint 1</t>
        </is>
      </c>
      <c r="F9" s="10" t="inlineStr">
        <is>
          <t>Revisión de redacción y coherencia con la consigna</t>
        </is>
      </c>
      <c r="G9" s="10" t="inlineStr">
        <is>
          <t>Entregable 1 revisado</t>
        </is>
      </c>
      <c r="H9" s="10" t="inlineStr">
        <is>
          <t>Comentarios resueltos en el documento</t>
        </is>
      </c>
      <c r="I9" s="10" t="inlineStr">
        <is>
          <t>Sprint_01/Abner/</t>
        </is>
      </c>
    </row>
    <row r="10">
      <c r="B10" s="2" t="n">
        <v>46302</v>
      </c>
      <c r="C10" s="3">
        <f>CHOOSE(WEEKDAY(B10,2),"lunes","martes","miércoles","jueves","viernes","sábado","domingo")</f>
        <v/>
      </c>
      <c r="D10" s="3" t="n">
        <v>4</v>
      </c>
      <c r="E10" s="4" t="inlineStr">
        <is>
          <t>Proceso de negocio actual y propuesto</t>
        </is>
      </c>
      <c r="F10" s="4" t="inlineStr">
        <is>
          <t>Descripción de la situación propuesta</t>
        </is>
      </c>
      <c r="G10" s="4" t="inlineStr">
        <is>
          <t>Situación propuesta</t>
        </is>
      </c>
      <c r="H10" s="4" t="inlineStr">
        <is>
          <t>Borrador del Entregable 2 en el Drive</t>
        </is>
      </c>
      <c r="I10" s="4" t="inlineStr">
        <is>
          <t>Sprint_02/Abner/</t>
        </is>
      </c>
    </row>
    <row r="11">
      <c r="B11" s="2" t="n">
        <v>46303</v>
      </c>
      <c r="C11" s="3">
        <f>CHOOSE(WEEKDAY(B11,2),"lunes","martes","miércoles","jueves","viernes","sábado","domingo")</f>
        <v/>
      </c>
      <c r="D11" s="3" t="n">
        <v>4</v>
      </c>
      <c r="E11" s="4" t="inlineStr">
        <is>
          <t>Modelo BPMN del proceso en Bizagi</t>
        </is>
      </c>
      <c r="F11" s="4" t="inlineStr">
        <is>
          <t>Carril del administrador: revisión y aprobación</t>
        </is>
      </c>
      <c r="G11" s="4" t="inlineStr">
        <is>
          <t>Modelo BPMN (administrador)</t>
        </is>
      </c>
      <c r="H11" s="4" t="inlineStr">
        <is>
          <t>Archivo de Bizagi en 01_Modelos/Procesos_BPMN</t>
        </is>
      </c>
      <c r="I11" s="4" t="inlineStr">
        <is>
          <t>01_Modelos/Procesos_BPMN/</t>
        </is>
      </c>
    </row>
    <row r="12">
      <c r="B12" s="5" t="n">
        <v>46304</v>
      </c>
      <c r="C12" s="6">
        <f>CHOOSE(WEEKDAY(B12,2),"lunes","martes","miércoles","jueves","viernes","sábado","domingo")</f>
        <v/>
      </c>
      <c r="D12" s="6" t="n">
        <v>0</v>
      </c>
      <c r="E12" s="7" t="inlineStr">
        <is>
          <t>Feriado: Independencia de Guayaquil</t>
        </is>
      </c>
      <c r="F12" s="7" t="n"/>
      <c r="G12" s="7" t="n"/>
      <c r="H12" s="7" t="n"/>
      <c r="I12" s="7" t="n"/>
    </row>
    <row r="13">
      <c r="B13" s="5" t="n">
        <v>46305</v>
      </c>
      <c r="C13" s="6">
        <f>CHOOSE(WEEKDAY(B13,2),"lunes","martes","miércoles","jueves","viernes","sábado","domingo")</f>
        <v/>
      </c>
      <c r="D13" s="6" t="n">
        <v>0</v>
      </c>
      <c r="E13" s="7" t="n"/>
      <c r="F13" s="7" t="n"/>
      <c r="G13" s="7" t="n"/>
      <c r="H13" s="7" t="n"/>
      <c r="I13" s="7" t="n"/>
    </row>
    <row r="14">
      <c r="B14" s="5" t="n">
        <v>46306</v>
      </c>
      <c r="C14" s="6">
        <f>CHOOSE(WEEKDAY(B14,2),"lunes","martes","miércoles","jueves","viernes","sábado","domingo")</f>
        <v/>
      </c>
      <c r="D14" s="6" t="n">
        <v>0</v>
      </c>
      <c r="E14" s="7" t="n"/>
      <c r="F14" s="7" t="n"/>
      <c r="G14" s="7" t="n"/>
      <c r="H14" s="7" t="n"/>
      <c r="I14" s="7" t="n"/>
    </row>
    <row r="15">
      <c r="B15" s="2" t="n">
        <v>46307</v>
      </c>
      <c r="C15" s="3">
        <f>CHOOSE(WEEKDAY(B15,2),"lunes","martes","miércoles","jueves","viernes","sábado","domingo")</f>
        <v/>
      </c>
      <c r="D15" s="3" t="n">
        <v>4</v>
      </c>
      <c r="E15" s="4" t="inlineStr">
        <is>
          <t>Requisitos funcionales (SRS v0.1)</t>
        </is>
      </c>
      <c r="F15" s="4" t="inlineStr">
        <is>
          <t>Requisitos de calificaciones, asistencia y comportamiento</t>
        </is>
      </c>
      <c r="G15" s="4" t="inlineStr">
        <is>
          <t>RF-17 a RF-27</t>
        </is>
      </c>
      <c r="H15" s="4" t="inlineStr">
        <is>
          <t>SRS v0.1 en 02_Documentos</t>
        </is>
      </c>
      <c r="I15" s="4" t="inlineStr">
        <is>
          <t>02_Documentos/</t>
        </is>
      </c>
    </row>
    <row r="16">
      <c r="B16" s="2" t="n">
        <v>46308</v>
      </c>
      <c r="C16" s="3">
        <f>CHOOSE(WEEKDAY(B16,2),"lunes","martes","miércoles","jueves","viernes","sábado","domingo")</f>
        <v/>
      </c>
      <c r="D16" s="3" t="n">
        <v>4</v>
      </c>
      <c r="E16" s="4" t="inlineStr">
        <is>
          <t>Requisitos no funcionales y criterios de aceptación</t>
        </is>
      </c>
      <c r="F16" s="4" t="inlineStr">
        <is>
          <t>Seguridad, privacidad y consentimiento</t>
        </is>
      </c>
      <c r="G16" s="4" t="inlineStr">
        <is>
          <t>RNF de seguridad</t>
        </is>
      </c>
      <c r="H16" s="4" t="inlineStr">
        <is>
          <t>SRS v0.1 en 02_Documentos</t>
        </is>
      </c>
      <c r="I16" s="4" t="inlineStr">
        <is>
          <t>02_Documentos/</t>
        </is>
      </c>
    </row>
    <row r="17">
      <c r="B17" s="2" t="n">
        <v>46309</v>
      </c>
      <c r="C17" s="3">
        <f>CHOOSE(WEEKDAY(B17,2),"lunes","martes","miércoles","jueves","viernes","sábado","domingo")</f>
        <v/>
      </c>
      <c r="D17" s="3" t="n">
        <v>4</v>
      </c>
      <c r="E17" s="4" t="inlineStr">
        <is>
          <t>Validación del prototipo con el cliente</t>
        </is>
      </c>
      <c r="F17" s="4" t="inlineStr">
        <is>
          <t>Registro de las observaciones del cliente</t>
        </is>
      </c>
      <c r="G17" s="4" t="inlineStr">
        <is>
          <t>Lista de observaciones</t>
        </is>
      </c>
      <c r="H17" s="4" t="inlineStr">
        <is>
          <t>Documento de observaciones en el Drive</t>
        </is>
      </c>
      <c r="I17" s="4" t="inlineStr">
        <is>
          <t>Sprint_02/Abner/</t>
        </is>
      </c>
    </row>
    <row r="18">
      <c r="B18" s="2" t="n">
        <v>46310</v>
      </c>
      <c r="C18" s="3">
        <f>CHOOSE(WEEKDAY(B18,2),"lunes","martes","miércoles","jueves","viernes","sábado","domingo")</f>
        <v/>
      </c>
      <c r="D18" s="3" t="n">
        <v>4</v>
      </c>
      <c r="E18" s="4" t="inlineStr">
        <is>
          <t>Taller de vulnerabilidades y riesgos</t>
        </is>
      </c>
      <c r="F18" s="4" t="inlineStr">
        <is>
          <t>Análisis de 5 riesgos: amenaza, probabilidad, impacto y control</t>
        </is>
      </c>
      <c r="G18" s="4" t="inlineStr">
        <is>
          <t>Análisis de riesgos</t>
        </is>
      </c>
      <c r="H18" s="4" t="inlineStr">
        <is>
          <t>Taller en el Drive</t>
        </is>
      </c>
      <c r="I18" s="4" t="inlineStr">
        <is>
          <t>01_Modelos/Seguridad/</t>
        </is>
      </c>
    </row>
    <row r="19">
      <c r="B19" s="2" t="n">
        <v>46311</v>
      </c>
      <c r="C19" s="3">
        <f>CHOOSE(WEEKDAY(B19,2),"lunes","martes","miércoles","jueves","viernes","sábado","domingo")</f>
        <v/>
      </c>
      <c r="D19" s="3" t="n">
        <v>4</v>
      </c>
      <c r="E19" s="4" t="inlineStr">
        <is>
          <t>Objetivos, alcance y fuera de alcance</t>
        </is>
      </c>
      <c r="F19" s="4" t="inlineStr">
        <is>
          <t>Alcance del sistema</t>
        </is>
      </c>
      <c r="G19" s="4" t="inlineStr">
        <is>
          <t>Alcance</t>
        </is>
      </c>
      <c r="H19" s="4" t="inlineStr">
        <is>
          <t>Borrador del Entregable 2</t>
        </is>
      </c>
      <c r="I19" s="4" t="inlineStr">
        <is>
          <t>Sprint_02/Abner/</t>
        </is>
      </c>
    </row>
    <row r="20">
      <c r="B20" s="5" t="n">
        <v>46312</v>
      </c>
      <c r="C20" s="6">
        <f>CHOOSE(WEEKDAY(B20,2),"lunes","martes","miércoles","jueves","viernes","sábado","domingo")</f>
        <v/>
      </c>
      <c r="D20" s="6" t="n">
        <v>0</v>
      </c>
      <c r="E20" s="7" t="n"/>
      <c r="F20" s="7" t="n"/>
      <c r="G20" s="7" t="n"/>
      <c r="H20" s="7" t="n"/>
      <c r="I20" s="7" t="n"/>
    </row>
    <row r="21">
      <c r="B21" s="5" t="n">
        <v>46313</v>
      </c>
      <c r="C21" s="6">
        <f>CHOOSE(WEEKDAY(B21,2),"lunes","martes","miércoles","jueves","viernes","sábado","domingo")</f>
        <v/>
      </c>
      <c r="D21" s="6" t="n">
        <v>0</v>
      </c>
      <c r="E21" s="7" t="n"/>
      <c r="F21" s="7" t="n"/>
      <c r="G21" s="7" t="n"/>
      <c r="H21" s="7" t="n"/>
      <c r="I21" s="7" t="n"/>
    </row>
    <row r="22">
      <c r="B22" s="2" t="n">
        <v>46314</v>
      </c>
      <c r="C22" s="3">
        <f>CHOOSE(WEEKDAY(B22,2),"lunes","martes","miércoles","jueves","viernes","sábado","domingo")</f>
        <v/>
      </c>
      <c r="D22" s="3" t="n">
        <v>4</v>
      </c>
      <c r="E22" s="4" t="inlineStr">
        <is>
          <t>Stakeholders, usuarios y actores, y casos de uso</t>
        </is>
      </c>
      <c r="F22" s="4" t="inlineStr">
        <is>
          <t>Tabla usuarios vs. actores</t>
        </is>
      </c>
      <c r="G22" s="4" t="inlineStr">
        <is>
          <t>Usuarios y actores</t>
        </is>
      </c>
      <c r="H22" s="4" t="inlineStr">
        <is>
          <t>Tabla en el borrador del Entregable 2</t>
        </is>
      </c>
      <c r="I22" s="4" t="inlineStr">
        <is>
          <t>Sprint_02/Abner/</t>
        </is>
      </c>
    </row>
    <row r="23">
      <c r="B23" s="8" t="n">
        <v>46315</v>
      </c>
      <c r="C23" s="9">
        <f>CHOOSE(WEEKDAY(B23,2),"lunes","martes","miércoles","jueves","viernes","sábado","domingo")</f>
        <v/>
      </c>
      <c r="D23" s="9" t="n">
        <v>4</v>
      </c>
      <c r="E23" s="10" t="inlineStr">
        <is>
          <t>Revisión y entrega del Entregable 2 (Procesos e involucrados) – cierre del sprint 2</t>
        </is>
      </c>
      <c r="F23" s="10" t="inlineStr">
        <is>
          <t>Revisión de coherencia con el Entregable 1 y la consigna</t>
        </is>
      </c>
      <c r="G23" s="10" t="inlineStr">
        <is>
          <t>Entregable 2 revisado</t>
        </is>
      </c>
      <c r="H23" s="10" t="inlineStr">
        <is>
          <t>Comentarios resueltos en el documento</t>
        </is>
      </c>
      <c r="I23" s="10" t="inlineStr">
        <is>
          <t>Sprint_02/Abner/</t>
        </is>
      </c>
    </row>
    <row r="24">
      <c r="B24" s="2" t="n">
        <v>46316</v>
      </c>
      <c r="C24" s="3">
        <f>CHOOSE(WEEKDAY(B24,2),"lunes","martes","miércoles","jueves","viernes","sábado","domingo")</f>
        <v/>
      </c>
      <c r="D24" s="3" t="n">
        <v>4</v>
      </c>
      <c r="E24" s="4" t="inlineStr">
        <is>
          <t>Configuración de GitHub y Product Backlog en GitHub Projects</t>
        </is>
      </c>
      <c r="F24" s="4" t="inlineStr">
        <is>
          <t>Reglas de protección: main y test solo por PR con el CI en verde; dev sin force push ni borrado; bot de Telegram y SonarQube Cloud con sus secretos en GitHub Secrets</t>
        </is>
      </c>
      <c r="G24" s="4" t="inlineStr">
        <is>
          <t>Ramas protegidas y secretos configurados</t>
        </is>
      </c>
      <c r="H24" s="4" t="inlineStr">
        <is>
          <t>Capturas de las reglas y de la lista de secretos (sin valores)</t>
        </is>
      </c>
      <c r="I24" s="4" t="inlineStr">
        <is>
          <t>Sprint_03/Abner/</t>
        </is>
      </c>
    </row>
    <row r="25">
      <c r="B25" s="2" t="n">
        <v>46317</v>
      </c>
      <c r="C25" s="3">
        <f>CHOOSE(WEEKDAY(B25,2),"lunes","martes","miércoles","jueves","viernes","sábado","domingo")</f>
        <v/>
      </c>
      <c r="D25" s="3" t="n">
        <v>4</v>
      </c>
      <c r="E25" s="4" t="inlineStr">
        <is>
          <t>Definición de tecnologías y entrega del Entregable 3</t>
        </is>
      </c>
      <c r="F25" s="4" t="inlineStr">
        <is>
          <t>Inventario de datos sensibles y prototipo anonimizado; revisión local con Gitleaks antes de subirlo</t>
        </is>
      </c>
      <c r="G25" s="4" t="inlineStr">
        <is>
          <t>Prototipo anonimizado</t>
        </is>
      </c>
      <c r="H25" s="4" t="inlineStr">
        <is>
          <t>Commit en dev y salida de 'gitleaks detect' sin hallazgos</t>
        </is>
      </c>
      <c r="I25" s="4" t="inlineStr">
        <is>
          <t>Sprint_03/Abner/</t>
        </is>
      </c>
    </row>
    <row r="26">
      <c r="B26" s="2" t="n">
        <v>46318</v>
      </c>
      <c r="C26" s="3">
        <f>CHOOSE(WEEKDAY(B26,2),"lunes","martes","miércoles","jueves","viernes","sábado","domingo")</f>
        <v/>
      </c>
      <c r="D26" s="3" t="n">
        <v>4</v>
      </c>
      <c r="E26" s="4" t="inlineStr">
        <is>
          <t>Diseño de arquitectura, datos y amenazas</t>
        </is>
      </c>
      <c r="F26" s="4" t="inlineStr">
        <is>
          <t>Modelo de amenazas STRIDE a partir del taller de vulnerabilidades y riesgos: controles por rol y para los datos de menores</t>
        </is>
      </c>
      <c r="G26" s="4" t="inlineStr">
        <is>
          <t>Modelo de amenazas</t>
        </is>
      </c>
      <c r="H26" s="4" t="inlineStr">
        <is>
          <t>docs/seguridad/modelo_amenazas.md en el repositorio</t>
        </is>
      </c>
      <c r="I26" s="4" t="inlineStr">
        <is>
          <t>01_Modelos/Seguridad/</t>
        </is>
      </c>
    </row>
    <row r="27">
      <c r="B27" s="5" t="n">
        <v>46319</v>
      </c>
      <c r="C27" s="6">
        <f>CHOOSE(WEEKDAY(B27,2),"lunes","martes","miércoles","jueves","viernes","sábado","domingo")</f>
        <v/>
      </c>
      <c r="D27" s="6" t="n">
        <v>0</v>
      </c>
      <c r="E27" s="7" t="n"/>
      <c r="F27" s="7" t="n"/>
      <c r="G27" s="7" t="n"/>
      <c r="H27" s="7" t="n"/>
      <c r="I27" s="7" t="n"/>
    </row>
    <row r="28">
      <c r="B28" s="5" t="n">
        <v>46320</v>
      </c>
      <c r="C28" s="6">
        <f>CHOOSE(WEEKDAY(B28,2),"lunes","martes","miércoles","jueves","viernes","sábado","domingo")</f>
        <v/>
      </c>
      <c r="D28" s="6" t="n">
        <v>0</v>
      </c>
      <c r="E28" s="7" t="n"/>
      <c r="F28" s="7" t="n"/>
      <c r="G28" s="7" t="n"/>
      <c r="H28" s="7" t="n"/>
      <c r="I28" s="7" t="n"/>
    </row>
    <row r="29">
      <c r="B29" s="2" t="n">
        <v>46321</v>
      </c>
      <c r="C29" s="3">
        <f>CHOOSE(WEEKDAY(B29,2),"lunes","martes","miércoles","jueves","viernes","sábado","domingo")</f>
        <v/>
      </c>
      <c r="D29" s="3" t="n">
        <v>4</v>
      </c>
      <c r="E29" s="4" t="inlineStr">
        <is>
          <t>CI básico: secretos y compilación con avisos en Telegram</t>
        </is>
      </c>
      <c r="F29" s="4" t="inlineStr">
        <is>
          <t>Etapa Secretos con Gitleaks y .gitleaks.toml; permisos mínimos del workflow y acciones fijadas por versión</t>
        </is>
      </c>
      <c r="G29" s="4" t="inlineStr">
        <is>
          <t>Paso 'Secretos' en el CI</t>
        </is>
      </c>
      <c r="H29" s="4" t="inlineStr">
        <is>
          <t>Log del paso 'Secretos' en GitHub Actions</t>
        </is>
      </c>
      <c r="I29" s="4" t="inlineStr">
        <is>
          <t>Sprint_03/Abner/</t>
        </is>
      </c>
    </row>
    <row r="30">
      <c r="B30" s="2" t="n">
        <v>46322</v>
      </c>
      <c r="C30" s="3">
        <f>CHOOSE(WEEKDAY(B30,2),"lunes","martes","miércoles","jueves","viernes","sábado","domingo")</f>
        <v/>
      </c>
      <c r="D30" s="3" t="n">
        <v>4</v>
      </c>
      <c r="E30" s="4" t="inlineStr">
        <is>
          <t>Esqueletos de la API y de la PWA</t>
        </is>
      </c>
      <c r="F30" s="4" t="inlineStr">
        <is>
          <t>Prueba negativa del CI en un fork: un secreto de prueba y una compilación rota deben detener el pipeline</t>
        </is>
      </c>
      <c r="G30" s="4" t="inlineStr">
        <is>
          <t>Prueba negativa del CI</t>
        </is>
      </c>
      <c r="H30" s="4" t="inlineStr">
        <is>
          <t>Capturas de las ejecuciones fallidas y del aviso de error en Telegram</t>
        </is>
      </c>
      <c r="I30" s="4" t="inlineStr">
        <is>
          <t>Sprint_03/Abner/</t>
        </is>
      </c>
    </row>
    <row r="31">
      <c r="B31" s="2" t="n">
        <v>46323</v>
      </c>
      <c r="C31" s="3">
        <f>CHOOSE(WEEKDAY(B31,2),"lunes","martes","miércoles","jueves","viernes","sábado","domingo")</f>
        <v/>
      </c>
      <c r="D31" s="3" t="n">
        <v>4</v>
      </c>
      <c r="E31" s="4" t="inlineStr">
        <is>
          <t>Base de datos, etapa de pruebas y estructura de la PWA</t>
        </is>
      </c>
      <c r="F31" s="4" t="inlineStr">
        <is>
          <t>Etapa Pruebas en el CI con PostgreSQL como servicio y reporte de cobertura</t>
        </is>
      </c>
      <c r="G31" s="4" t="inlineStr">
        <is>
          <t>Paso 'Pruebas' en el CI</t>
        </is>
      </c>
      <c r="H31" s="4" t="inlineStr">
        <is>
          <t>Log del paso 'Pruebas' con el reporte de cobertura</t>
        </is>
      </c>
      <c r="I31" s="4" t="inlineStr">
        <is>
          <t>Sprint_03/Abner/</t>
        </is>
      </c>
    </row>
    <row r="32">
      <c r="B32" s="2" t="n">
        <v>46324</v>
      </c>
      <c r="C32" s="3">
        <f>CHOOSE(WEEKDAY(B32,2),"lunes","martes","miércoles","jueves","viernes","sábado","domingo")</f>
        <v/>
      </c>
      <c r="D32" s="3" t="n">
        <v>4</v>
      </c>
      <c r="E32" s="4" t="inlineStr">
        <is>
          <t>Análisis de dependencias, calidad de código y contenedores</t>
        </is>
      </c>
      <c r="F32" s="4" t="inlineStr">
        <is>
          <t>Etapas Dependencias (npm audit y Trivy, SARIF en la pestaña Security) y SonarQube con quality gate obligatorio</t>
        </is>
      </c>
      <c r="G32" s="4" t="inlineStr">
        <is>
          <t>Pasos 'Dependencias' y 'SonarQube' en el CI</t>
        </is>
      </c>
      <c r="H32" s="4" t="inlineStr">
        <is>
          <t>Log de Trivy y captura del quality gate en SonarQube Cloud</t>
        </is>
      </c>
      <c r="I32" s="4" t="inlineStr">
        <is>
          <t>Sprint_03/Abner/</t>
        </is>
      </c>
    </row>
    <row r="33">
      <c r="B33" s="8" t="n">
        <v>46325</v>
      </c>
      <c r="C33" s="9">
        <f>CHOOSE(WEEKDAY(B33,2),"lunes","martes","miércoles","jueves","viernes","sábado","domingo")</f>
        <v/>
      </c>
      <c r="D33" s="9" t="n">
        <v>4</v>
      </c>
      <c r="E33" s="10" t="inlineStr">
        <is>
          <t>Integración, demostración e informe del sprint 3</t>
        </is>
      </c>
      <c r="F33" s="10" t="inlineStr">
        <is>
          <t>Revisión de la seguridad del pipeline (permisos, secretos, versiones fijadas) y lista de pendientes</t>
        </is>
      </c>
      <c r="G33" s="10" t="inlineStr">
        <is>
          <t>Checklist de seguridad del CI</t>
        </is>
      </c>
      <c r="H33" s="10" t="inlineStr">
        <is>
          <t>Checklist en docs/sprints/sprint3.md</t>
        </is>
      </c>
      <c r="I33" s="10" t="inlineStr">
        <is>
          <t>Sprint_03/Abner/</t>
        </is>
      </c>
    </row>
    <row r="34">
      <c r="B34" s="5" t="n">
        <v>46326</v>
      </c>
      <c r="C34" s="6">
        <f>CHOOSE(WEEKDAY(B34,2),"lunes","martes","miércoles","jueves","viernes","sábado","domingo")</f>
        <v/>
      </c>
      <c r="D34" s="6" t="n">
        <v>0</v>
      </c>
      <c r="E34" s="7" t="n"/>
      <c r="F34" s="7" t="n"/>
      <c r="G34" s="7" t="n"/>
      <c r="H34" s="7" t="n"/>
      <c r="I34" s="7" t="n"/>
    </row>
    <row r="35">
      <c r="B35" s="5" t="n">
        <v>46327</v>
      </c>
      <c r="C35" s="6">
        <f>CHOOSE(WEEKDAY(B35,2),"lunes","martes","miércoles","jueves","viernes","sábado","domingo")</f>
        <v/>
      </c>
      <c r="D35" s="6" t="n">
        <v>0</v>
      </c>
      <c r="E35" s="7" t="n"/>
      <c r="F35" s="7" t="n"/>
      <c r="G35" s="7" t="n"/>
      <c r="H35" s="7" t="n"/>
      <c r="I35" s="7" t="n"/>
    </row>
    <row r="36">
      <c r="B36" s="5" t="n">
        <v>46328</v>
      </c>
      <c r="C36" s="6">
        <f>CHOOSE(WEEKDAY(B36,2),"lunes","martes","miércoles","jueves","viernes","sábado","domingo")</f>
        <v/>
      </c>
      <c r="D36" s="6" t="n">
        <v>0</v>
      </c>
      <c r="E36" s="7" t="inlineStr">
        <is>
          <t>Feriado: Día de los Difuntos</t>
        </is>
      </c>
      <c r="F36" s="7" t="n"/>
      <c r="G36" s="7" t="n"/>
      <c r="H36" s="7" t="n"/>
      <c r="I36" s="7" t="n"/>
    </row>
    <row r="37">
      <c r="B37" s="5" t="n">
        <v>46329</v>
      </c>
      <c r="C37" s="6">
        <f>CHOOSE(WEEKDAY(B37,2),"lunes","martes","miércoles","jueves","viernes","sábado","domingo")</f>
        <v/>
      </c>
      <c r="D37" s="6" t="n">
        <v>0</v>
      </c>
      <c r="E37" s="7" t="inlineStr">
        <is>
          <t>Feriado: Independencia de Cuenca</t>
        </is>
      </c>
      <c r="F37" s="7" t="n"/>
      <c r="G37" s="7" t="n"/>
      <c r="H37" s="7" t="n"/>
      <c r="I37" s="7" t="n"/>
    </row>
    <row r="38">
      <c r="B38" s="2" t="n">
        <v>46330</v>
      </c>
      <c r="C38" s="3">
        <f>CHOOSE(WEEKDAY(B38,2),"lunes","martes","miércoles","jueves","viernes","sábado","domingo")</f>
        <v/>
      </c>
      <c r="D38" s="3" t="n">
        <v>4</v>
      </c>
      <c r="E38" s="4" t="inlineStr">
        <is>
          <t>Construcción y escaneo de imágenes en el CI</t>
        </is>
      </c>
      <c r="F38" s="4" t="inlineStr">
        <is>
          <t>Trivy sobre las imágenes (CRITICAL y HIGH bloquean) y SBOM en formato CycloneDX</t>
        </is>
      </c>
      <c r="G38" s="4" t="inlineStr">
        <is>
          <t>Escaneo de imágenes y SBOM</t>
        </is>
      </c>
      <c r="H38" s="4" t="inlineStr">
        <is>
          <t>SARIF de Trivy y artefacto sbom.json en la ejecución</t>
        </is>
      </c>
      <c r="I38" s="4" t="inlineStr">
        <is>
          <t>Sprint_04/Abner/</t>
        </is>
      </c>
    </row>
    <row r="39">
      <c r="B39" s="2" t="n">
        <v>46331</v>
      </c>
      <c r="C39" s="3">
        <f>CHOOSE(WEEKDAY(B39,2),"lunes","martes","miércoles","jueves","viernes","sábado","domingo")</f>
        <v/>
      </c>
      <c r="D39" s="3" t="n">
        <v>4</v>
      </c>
      <c r="E39" s="4" t="inlineStr">
        <is>
          <t>Autenticación y roles (RF-01, RF-03)</t>
        </is>
      </c>
      <c r="F39" s="4" t="inlineStr">
        <is>
          <t>Pruebas de autorización (otro rol → 403) y límite de intentos de inicio de sesión</t>
        </is>
      </c>
      <c r="G39" s="4" t="inlineStr">
        <is>
          <t>Pruebas de autorización</t>
        </is>
      </c>
      <c r="H39" s="4" t="inlineStr">
        <is>
          <t>Reporte de Jest en el CI con los casos negativos</t>
        </is>
      </c>
      <c r="I39" s="4" t="inlineStr">
        <is>
          <t>Sprint_04/Abner/</t>
        </is>
      </c>
    </row>
    <row r="40">
      <c r="B40" s="2" t="n">
        <v>46332</v>
      </c>
      <c r="C40" s="3">
        <f>CHOOSE(WEEKDAY(B40,2),"lunes","martes","miércoles","jueves","viernes","sábado","domingo")</f>
        <v/>
      </c>
      <c r="D40" s="3" t="n">
        <v>4</v>
      </c>
      <c r="E40" s="4" t="inlineStr">
        <is>
          <t>Generación de usuarios, sesión y auditoría (RF-02)</t>
        </is>
      </c>
      <c r="F40" s="4" t="inlineStr">
        <is>
          <t>Política de contraseñas y registro de auditoría de accesos (RNF-09)</t>
        </is>
      </c>
      <c r="G40" s="4" t="inlineStr">
        <is>
          <t>Auditoría de accesos</t>
        </is>
      </c>
      <c r="H40" s="4" t="inlineStr">
        <is>
          <t>Consulta de la tabla de auditoría con inicios de sesión</t>
        </is>
      </c>
      <c r="I40" s="4" t="inlineStr">
        <is>
          <t>Sprint_04/Abner/</t>
        </is>
      </c>
    </row>
    <row r="41">
      <c r="B41" s="5" t="n">
        <v>46333</v>
      </c>
      <c r="C41" s="6">
        <f>CHOOSE(WEEKDAY(B41,2),"lunes","martes","miércoles","jueves","viernes","sábado","domingo")</f>
        <v/>
      </c>
      <c r="D41" s="6" t="n">
        <v>0</v>
      </c>
      <c r="E41" s="7" t="n"/>
      <c r="F41" s="7" t="n"/>
      <c r="G41" s="7" t="n"/>
      <c r="H41" s="7" t="n"/>
      <c r="I41" s="7" t="n"/>
    </row>
    <row r="42">
      <c r="B42" s="5" t="n">
        <v>46334</v>
      </c>
      <c r="C42" s="6">
        <f>CHOOSE(WEEKDAY(B42,2),"lunes","martes","miércoles","jueves","viernes","sábado","domingo")</f>
        <v/>
      </c>
      <c r="D42" s="6" t="n">
        <v>0</v>
      </c>
      <c r="E42" s="7" t="n"/>
      <c r="F42" s="7" t="n"/>
      <c r="G42" s="7" t="n"/>
      <c r="H42" s="7" t="n"/>
      <c r="I42" s="7" t="n"/>
    </row>
    <row r="43">
      <c r="B43" s="2" t="n">
        <v>46335</v>
      </c>
      <c r="C43" s="3">
        <f>CHOOSE(WEEKDAY(B43,2),"lunes","martes","miércoles","jueves","viernes","sábado","domingo")</f>
        <v/>
      </c>
      <c r="D43" s="3" t="n">
        <v>4</v>
      </c>
      <c r="E43" s="4" t="inlineStr">
        <is>
          <t>Año lectivo, cursos, paralelos y materias (RF-06, RF-07)</t>
        </is>
      </c>
      <c r="F43" s="4" t="inlineStr">
        <is>
          <t>Pantallas de administración de año lectivo, cursos y materias en la PWA</t>
        </is>
      </c>
      <c r="G43" s="4" t="inlineStr">
        <is>
          <t>Pantallas de configuración académica</t>
        </is>
      </c>
      <c r="H43" s="4" t="inlineStr">
        <is>
          <t>Capturas de las pantallas</t>
        </is>
      </c>
      <c r="I43" s="4" t="inlineStr">
        <is>
          <t>Sprint_04/Abner/</t>
        </is>
      </c>
    </row>
    <row r="44">
      <c r="B44" s="2" t="n">
        <v>46336</v>
      </c>
      <c r="C44" s="3">
        <f>CHOOSE(WEEKDAY(B44,2),"lunes","martes","miércoles","jueves","viernes","sábado","domingo")</f>
        <v/>
      </c>
      <c r="D44" s="3" t="n">
        <v>4</v>
      </c>
      <c r="E44" s="4" t="inlineStr">
        <is>
          <t>Gestión de docentes y asignación de materias (RF-05)</t>
        </is>
      </c>
      <c r="F44" s="4" t="inlineStr">
        <is>
          <t>API de docentes y asignación docente–materia–paralelo</t>
        </is>
      </c>
      <c r="G44" s="4" t="inlineStr">
        <is>
          <t>Endpoints de docentes</t>
        </is>
      </c>
      <c r="H44" s="4" t="inlineStr">
        <is>
          <t>Swagger y pruebas Jest</t>
        </is>
      </c>
      <c r="I44" s="4" t="inlineStr">
        <is>
          <t>Sprint_04/Abner/</t>
        </is>
      </c>
    </row>
    <row r="45">
      <c r="B45" s="2" t="n">
        <v>46337</v>
      </c>
      <c r="C45" s="3">
        <f>CHOOSE(WEEKDAY(B45,2),"lunes","martes","miércoles","jueves","viernes","sábado","domingo")</f>
        <v/>
      </c>
      <c r="D45" s="3" t="n">
        <v>4</v>
      </c>
      <c r="E45" s="4" t="inlineStr">
        <is>
          <t>Matrícula individual y representantes (RF-04, RF-29)</t>
        </is>
      </c>
      <c r="F45" s="4" t="inlineStr">
        <is>
          <t>Pruebas de privacidad: la Secretaría no accede a planificaciones ni notas; la cédula no se expone completa en las respuestas</t>
        </is>
      </c>
      <c r="G45" s="4" t="inlineStr">
        <is>
          <t>Pruebas de privacidad</t>
        </is>
      </c>
      <c r="H45" s="4" t="inlineStr">
        <is>
          <t>Reporte de pruebas con respuestas 403</t>
        </is>
      </c>
      <c r="I45" s="4" t="inlineStr">
        <is>
          <t>Sprint_04/Abner/</t>
        </is>
      </c>
    </row>
    <row r="46">
      <c r="B46" s="2" t="n">
        <v>46338</v>
      </c>
      <c r="C46" s="3">
        <f>CHOOSE(WEEKDAY(B46,2),"lunes","martes","miércoles","jueves","viernes","sábado","domingo")</f>
        <v/>
      </c>
      <c r="D46" s="3" t="n">
        <v>4</v>
      </c>
      <c r="E46" s="4" t="inlineStr">
        <is>
          <t>Importación de nóminas desde Excel (RF-04)</t>
        </is>
      </c>
      <c r="F46" s="4" t="inlineStr">
        <is>
          <t>Controles de carga de archivos: tamaño, tipo y contenido con fórmulas</t>
        </is>
      </c>
      <c r="G46" s="4" t="inlineStr">
        <is>
          <t>Controles de carga</t>
        </is>
      </c>
      <c r="H46" s="4" t="inlineStr">
        <is>
          <t>Prueba que rechaza un archivo no válido</t>
        </is>
      </c>
      <c r="I46" s="4" t="inlineStr">
        <is>
          <t>Sprint_04/Abner/</t>
        </is>
      </c>
    </row>
    <row r="47">
      <c r="B47" s="8" t="n">
        <v>46339</v>
      </c>
      <c r="C47" s="9">
        <f>CHOOSE(WEEKDAY(B47,2),"lunes","martes","miércoles","jueves","viernes","sábado","domingo")</f>
        <v/>
      </c>
      <c r="D47" s="9" t="n">
        <v>4</v>
      </c>
      <c r="E47" s="10" t="inlineStr">
        <is>
          <t>Integración, demostración e informe del sprint 4</t>
        </is>
      </c>
      <c r="F47" s="10" t="inlineStr">
        <is>
          <t>PR dev → test con todas las etapas del CI en verde y revisión de hallazgos de SonarQube</t>
        </is>
      </c>
      <c r="G47" s="10" t="inlineStr">
        <is>
          <t>PR del sprint 4</t>
        </is>
      </c>
      <c r="H47" s="10" t="inlineStr">
        <is>
          <t>PR unido a test con el CI en verde</t>
        </is>
      </c>
      <c r="I47" s="10" t="inlineStr">
        <is>
          <t>Sprint_04/Abner/</t>
        </is>
      </c>
    </row>
    <row r="48">
      <c r="B48" s="5" t="n">
        <v>46340</v>
      </c>
      <c r="C48" s="6">
        <f>CHOOSE(WEEKDAY(B48,2),"lunes","martes","miércoles","jueves","viernes","sábado","domingo")</f>
        <v/>
      </c>
      <c r="D48" s="6" t="n">
        <v>0</v>
      </c>
      <c r="E48" s="7" t="n"/>
      <c r="F48" s="7" t="n"/>
      <c r="G48" s="7" t="n"/>
      <c r="H48" s="7" t="n"/>
      <c r="I48" s="7" t="n"/>
    </row>
    <row r="49">
      <c r="B49" s="5" t="n">
        <v>46341</v>
      </c>
      <c r="C49" s="6">
        <f>CHOOSE(WEEKDAY(B49,2),"lunes","martes","miércoles","jueves","viernes","sábado","domingo")</f>
        <v/>
      </c>
      <c r="D49" s="6" t="n">
        <v>0</v>
      </c>
      <c r="E49" s="7" t="n"/>
      <c r="F49" s="7" t="n"/>
      <c r="G49" s="7" t="n"/>
      <c r="H49" s="7" t="n"/>
      <c r="I49" s="7" t="n"/>
    </row>
    <row r="50">
      <c r="B50" s="2" t="n">
        <v>46342</v>
      </c>
      <c r="C50" s="3">
        <f>CHOOSE(WEEKDAY(B50,2),"lunes","martes","miércoles","jueves","viernes","sábado","domingo")</f>
        <v/>
      </c>
      <c r="D50" s="3" t="n">
        <v>4</v>
      </c>
      <c r="E50" s="4" t="inlineStr">
        <is>
          <t>Datos de prueba, ambiente de pruebas y pruebas e2e</t>
        </is>
      </c>
      <c r="F50" s="4" t="inlineStr">
        <is>
          <t>Despliegue continuo (CD) de la rama test al ambiente de pruebas con secretos en GitHub Environments</t>
        </is>
      </c>
      <c r="G50" s="4" t="inlineStr">
        <is>
          <t>Ambiente de pruebas</t>
        </is>
      </c>
      <c r="H50" s="4" t="inlineStr">
        <is>
          <t>Ejecución del job de despliegue y URL del ambiente</t>
        </is>
      </c>
      <c r="I50" s="4" t="inlineStr">
        <is>
          <t>Sprint_05/Abner/</t>
        </is>
      </c>
    </row>
    <row r="51">
      <c r="B51" s="2" t="n">
        <v>46343</v>
      </c>
      <c r="C51" s="3">
        <f>CHOOSE(WEEKDAY(B51,2),"lunes","martes","miércoles","jueves","viernes","sábado","domingo")</f>
        <v/>
      </c>
      <c r="D51" s="3" t="n">
        <v>4</v>
      </c>
      <c r="E51" s="4" t="inlineStr">
        <is>
          <t>Paquete compartido del cálculo de notas</t>
        </is>
      </c>
      <c r="F51" s="4" t="inlineStr">
        <is>
          <t>Pruebas del cálculo con los casos de la hoja oficial anonimizada: coincidencia del 100% (RNF-02)</t>
        </is>
      </c>
      <c r="G51" s="4" t="inlineStr">
        <is>
          <t>Pruebas del cálculo</t>
        </is>
      </c>
      <c r="H51" s="4" t="inlineStr">
        <is>
          <t>Reporte de pruebas con todos los casos en verde</t>
        </is>
      </c>
      <c r="I51" s="4" t="inlineStr">
        <is>
          <t>Sprint_05/Abner/</t>
        </is>
      </c>
    </row>
    <row r="52">
      <c r="B52" s="2" t="n">
        <v>46344</v>
      </c>
      <c r="C52" s="3">
        <f>CHOOSE(WEEKDAY(B52,2),"lunes","martes","miércoles","jueves","viernes","sábado","domingo")</f>
        <v/>
      </c>
      <c r="D52" s="3" t="n">
        <v>4</v>
      </c>
      <c r="E52" s="4" t="inlineStr">
        <is>
          <t>Registro de aportes y cálculo de notas (RF-17, RF-18)</t>
        </is>
      </c>
      <c r="F52" s="4" t="inlineStr">
        <is>
          <t>API de calificaciones usando packages/calculo</t>
        </is>
      </c>
      <c r="G52" s="4" t="inlineStr">
        <is>
          <t>Endpoints de calificaciones</t>
        </is>
      </c>
      <c r="H52" s="4" t="inlineStr">
        <is>
          <t>Swagger y pruebas Jest</t>
        </is>
      </c>
      <c r="I52" s="4" t="inlineStr">
        <is>
          <t>Sprint_05/Abner/</t>
        </is>
      </c>
    </row>
    <row r="53">
      <c r="B53" s="2" t="n">
        <v>46345</v>
      </c>
      <c r="C53" s="3">
        <f>CHOOSE(WEEKDAY(B53,2),"lunes","martes","miércoles","jueves","viernes","sábado","domingo")</f>
        <v/>
      </c>
      <c r="D53" s="3" t="n">
        <v>4</v>
      </c>
      <c r="E53" s="4" t="inlineStr">
        <is>
          <t>Tareas, pruebas y proyectos (RF-19)</t>
        </is>
      </c>
      <c r="F53" s="4" t="inlineStr">
        <is>
          <t>Pantallas del docente para crear, editar y eliminar tareas</t>
        </is>
      </c>
      <c r="G53" s="4" t="inlineStr">
        <is>
          <t>Pantallas de tareas</t>
        </is>
      </c>
      <c r="H53" s="4" t="inlineStr">
        <is>
          <t>Capturas</t>
        </is>
      </c>
      <c r="I53" s="4" t="inlineStr">
        <is>
          <t>Sprint_05/Abner/</t>
        </is>
      </c>
    </row>
    <row r="54">
      <c r="B54" s="2" t="n">
        <v>46346</v>
      </c>
      <c r="C54" s="3">
        <f>CHOOSE(WEEKDAY(B54,2),"lunes","martes","miércoles","jueves","viernes","sábado","domingo")</f>
        <v/>
      </c>
      <c r="D54" s="3" t="n">
        <v>4</v>
      </c>
      <c r="E54" s="4" t="inlineStr">
        <is>
          <t>Nota y retroalimentación de tareas (RF-20)</t>
        </is>
      </c>
      <c r="F54" s="4" t="inlineStr">
        <is>
          <t>Pruebas de IDOR: un estudiante no ve notas de otro</t>
        </is>
      </c>
      <c r="G54" s="4" t="inlineStr">
        <is>
          <t>Pruebas de acceso a notas</t>
        </is>
      </c>
      <c r="H54" s="4" t="inlineStr">
        <is>
          <t>Reporte de pruebas 403</t>
        </is>
      </c>
      <c r="I54" s="4" t="inlineStr">
        <is>
          <t>Sprint_05/Abner/</t>
        </is>
      </c>
    </row>
    <row r="55">
      <c r="B55" s="5" t="n">
        <v>46347</v>
      </c>
      <c r="C55" s="6">
        <f>CHOOSE(WEEKDAY(B55,2),"lunes","martes","miércoles","jueves","viernes","sábado","domingo")</f>
        <v/>
      </c>
      <c r="D55" s="6" t="n">
        <v>0</v>
      </c>
      <c r="E55" s="7" t="n"/>
      <c r="F55" s="7" t="n"/>
      <c r="G55" s="7" t="n"/>
      <c r="H55" s="7" t="n"/>
      <c r="I55" s="7" t="n"/>
    </row>
    <row r="56">
      <c r="B56" s="5" t="n">
        <v>46348</v>
      </c>
      <c r="C56" s="6">
        <f>CHOOSE(WEEKDAY(B56,2),"lunes","martes","miércoles","jueves","viernes","sábado","domingo")</f>
        <v/>
      </c>
      <c r="D56" s="6" t="n">
        <v>0</v>
      </c>
      <c r="E56" s="7" t="n"/>
      <c r="F56" s="7" t="n"/>
      <c r="G56" s="7" t="n"/>
      <c r="H56" s="7" t="n"/>
      <c r="I56" s="7" t="n"/>
    </row>
    <row r="57">
      <c r="B57" s="2" t="n">
        <v>46349</v>
      </c>
      <c r="C57" s="3">
        <f>CHOOSE(WEEKDAY(B57,2),"lunes","martes","miércoles","jueves","viernes","sábado","domingo")</f>
        <v/>
      </c>
      <c r="D57" s="3" t="n">
        <v>4</v>
      </c>
      <c r="E57" s="4" t="inlineStr">
        <is>
          <t>Asistencia por materia (RF-21)</t>
        </is>
      </c>
      <c r="F57" s="4" t="inlineStr">
        <is>
          <t>API de asistencia y justificación de faltas</t>
        </is>
      </c>
      <c r="G57" s="4" t="inlineStr">
        <is>
          <t>Endpoints de asistencia</t>
        </is>
      </c>
      <c r="H57" s="4" t="inlineStr">
        <is>
          <t>Swagger y pruebas Jest</t>
        </is>
      </c>
      <c r="I57" s="4" t="inlineStr">
        <is>
          <t>Sprint_05/Abner/</t>
        </is>
      </c>
    </row>
    <row r="58">
      <c r="B58" s="2" t="n">
        <v>46350</v>
      </c>
      <c r="C58" s="3">
        <f>CHOOSE(WEEKDAY(B58,2),"lunes","martes","miércoles","jueves","viernes","sábado","domingo")</f>
        <v/>
      </c>
      <c r="D58" s="3" t="n">
        <v>4</v>
      </c>
      <c r="E58" s="4" t="inlineStr">
        <is>
          <t>Registro de comportamiento (RF-22)</t>
        </is>
      </c>
      <c r="F58" s="4" t="inlineStr">
        <is>
          <t>Pruebas del cálculo contra la hoja oficial de comportamiento</t>
        </is>
      </c>
      <c r="G58" s="4" t="inlineStr">
        <is>
          <t>Pruebas de comportamiento</t>
        </is>
      </c>
      <c r="H58" s="4" t="inlineStr">
        <is>
          <t>Reporte con coincidencia total</t>
        </is>
      </c>
      <c r="I58" s="4" t="inlineStr">
        <is>
          <t>Sprint_05/Abner/</t>
        </is>
      </c>
    </row>
    <row r="59">
      <c r="B59" s="2" t="n">
        <v>46351</v>
      </c>
      <c r="C59" s="3">
        <f>CHOOSE(WEEKDAY(B59,2),"lunes","martes","miércoles","jueves","viernes","sábado","domingo")</f>
        <v/>
      </c>
      <c r="D59" s="3" t="n">
        <v>4</v>
      </c>
      <c r="E59" s="4" t="inlineStr">
        <is>
          <t>Parámetros del colegio configurables (RNF-10)</t>
        </is>
      </c>
      <c r="F59" s="4" t="inlineStr">
        <is>
          <t>API de parámetros: ponderaciones, escalas y textos de comportamiento</t>
        </is>
      </c>
      <c r="G59" s="4" t="inlineStr">
        <is>
          <t>Endpoints de parámetros</t>
        </is>
      </c>
      <c r="H59" s="4" t="inlineStr">
        <is>
          <t>Pruebas Jest</t>
        </is>
      </c>
      <c r="I59" s="4" t="inlineStr">
        <is>
          <t>Sprint_05/Abner/</t>
        </is>
      </c>
    </row>
    <row r="60">
      <c r="B60" s="2" t="n">
        <v>46352</v>
      </c>
      <c r="C60" s="3">
        <f>CHOOSE(WEEKDAY(B60,2),"lunes","martes","miércoles","jueves","viernes","sábado","domingo")</f>
        <v/>
      </c>
      <c r="D60" s="3" t="n">
        <v>4</v>
      </c>
      <c r="E60" s="4" t="inlineStr">
        <is>
          <t>Trazabilidad de cambios en notas (RNF-09)</t>
        </is>
      </c>
      <c r="F60" s="4" t="inlineStr">
        <is>
          <t>Pruebas de que la auditoría no se puede modificar desde la API</t>
        </is>
      </c>
      <c r="G60" s="4" t="inlineStr">
        <is>
          <t>Pruebas de auditoría</t>
        </is>
      </c>
      <c r="H60" s="4" t="inlineStr">
        <is>
          <t>Reporte de pruebas</t>
        </is>
      </c>
      <c r="I60" s="4" t="inlineStr">
        <is>
          <t>Sprint_05/Abner/</t>
        </is>
      </c>
    </row>
    <row r="61">
      <c r="B61" s="8" t="n">
        <v>46353</v>
      </c>
      <c r="C61" s="9">
        <f>CHOOSE(WEEKDAY(B61,2),"lunes","martes","miércoles","jueves","viernes","sábado","domingo")</f>
        <v/>
      </c>
      <c r="D61" s="9" t="n">
        <v>4</v>
      </c>
      <c r="E61" s="10" t="inlineStr">
        <is>
          <t>Integración, demostración e informe del sprint 5</t>
        </is>
      </c>
      <c r="F61" s="10" t="inlineStr">
        <is>
          <t>PR dev → test con el módulo de calificaciones</t>
        </is>
      </c>
      <c r="G61" s="10" t="inlineStr">
        <is>
          <t>PR del sprint 5</t>
        </is>
      </c>
      <c r="H61" s="10" t="inlineStr">
        <is>
          <t>PR unido a test con el CI en verde</t>
        </is>
      </c>
      <c r="I61" s="10" t="inlineStr">
        <is>
          <t>Sprint_05/Abner/</t>
        </is>
      </c>
    </row>
    <row r="62">
      <c r="B62" s="5" t="n">
        <v>46354</v>
      </c>
      <c r="C62" s="6">
        <f>CHOOSE(WEEKDAY(B62,2),"lunes","martes","miércoles","jueves","viernes","sábado","domingo")</f>
        <v/>
      </c>
      <c r="D62" s="6" t="n">
        <v>0</v>
      </c>
      <c r="E62" s="7" t="n"/>
      <c r="F62" s="7" t="n"/>
      <c r="G62" s="7" t="n"/>
      <c r="H62" s="7" t="n"/>
      <c r="I62" s="7" t="n"/>
    </row>
    <row r="63">
      <c r="B63" s="5" t="n">
        <v>46355</v>
      </c>
      <c r="C63" s="6">
        <f>CHOOSE(WEEKDAY(B63,2),"lunes","martes","miércoles","jueves","viernes","sábado","domingo")</f>
        <v/>
      </c>
      <c r="D63" s="6" t="n">
        <v>0</v>
      </c>
      <c r="E63" s="7" t="n"/>
      <c r="F63" s="7" t="n"/>
      <c r="G63" s="7" t="n"/>
      <c r="H63" s="7" t="n"/>
      <c r="I63" s="7" t="n"/>
    </row>
    <row r="64">
      <c r="B64" s="2" t="n">
        <v>46356</v>
      </c>
      <c r="C64" s="3">
        <f>CHOOSE(WEEKDAY(B64,2),"lunes","martes","miércoles","jueves","viernes","sábado","domingo")</f>
        <v/>
      </c>
      <c r="D64" s="3" t="n">
        <v>4</v>
      </c>
      <c r="E64" s="4" t="inlineStr">
        <is>
          <t>Hoja de estándares DA/AA/PA/NA (RF-23)</t>
        </is>
      </c>
      <c r="F64" s="4" t="inlineStr">
        <is>
          <t>Pantalla de la hoja de estándares con filtro por materia</t>
        </is>
      </c>
      <c r="G64" s="4" t="inlineStr">
        <is>
          <t>Pantalla de estándares</t>
        </is>
      </c>
      <c r="H64" s="4" t="inlineStr">
        <is>
          <t>Capturas</t>
        </is>
      </c>
      <c r="I64" s="4" t="inlineStr">
        <is>
          <t>Sprint_06/Abner/</t>
        </is>
      </c>
    </row>
    <row r="65">
      <c r="B65" s="2" t="n">
        <v>46357</v>
      </c>
      <c r="C65" s="3">
        <f>CHOOSE(WEEKDAY(B65,2),"lunes","martes","miércoles","jueves","viernes","sábado","domingo")</f>
        <v/>
      </c>
      <c r="D65" s="3" t="n">
        <v>4</v>
      </c>
      <c r="E65" s="4" t="inlineStr">
        <is>
          <t>Valoración de logros (RF-24)</t>
        </is>
      </c>
      <c r="F65" s="4" t="inlineStr">
        <is>
          <t>Servicio de valoración de logros por curso, refuerzo y promedio de la asignatura</t>
        </is>
      </c>
      <c r="G65" s="4" t="inlineStr">
        <is>
          <t>Servicio de valoración de logros</t>
        </is>
      </c>
      <c r="H65" s="4" t="inlineStr">
        <is>
          <t>Pruebas Jest</t>
        </is>
      </c>
      <c r="I65" s="4" t="inlineStr">
        <is>
          <t>Sprint_06/Abner/</t>
        </is>
      </c>
    </row>
    <row r="66">
      <c r="B66" s="2" t="n">
        <v>46358</v>
      </c>
      <c r="C66" s="3">
        <f>CHOOSE(WEEKDAY(B66,2),"lunes","martes","miércoles","jueves","viernes","sábado","domingo")</f>
        <v/>
      </c>
      <c r="D66" s="3" t="n">
        <v>4</v>
      </c>
      <c r="E66" s="4" t="inlineStr">
        <is>
          <t>Tablero consolidado del Administrador (RF-25)</t>
        </is>
      </c>
      <c r="F66" s="4" t="inlineStr">
        <is>
          <t>Consultas consolidadas de rendimiento por curso y materia</t>
        </is>
      </c>
      <c r="G66" s="4" t="inlineStr">
        <is>
          <t>API del tablero</t>
        </is>
      </c>
      <c r="H66" s="4" t="inlineStr">
        <is>
          <t>Pruebas Jest</t>
        </is>
      </c>
      <c r="I66" s="4" t="inlineStr">
        <is>
          <t>Sprint_06/Abner/</t>
        </is>
      </c>
    </row>
    <row r="67">
      <c r="B67" s="2" t="n">
        <v>46359</v>
      </c>
      <c r="C67" s="3">
        <f>CHOOSE(WEEKDAY(B67,2),"lunes","martes","miércoles","jueves","viernes","sábado","domingo")</f>
        <v/>
      </c>
      <c r="D67" s="3" t="n">
        <v>4</v>
      </c>
      <c r="E67" s="4" t="inlineStr">
        <is>
          <t>Importación y exportación de notas en Excel (RF-26, RF-27)</t>
        </is>
      </c>
      <c r="F67" s="4" t="inlineStr">
        <is>
          <t>Pruebas de que el Excel no permite inyección de fórmulas (CSV/Excel injection)</t>
        </is>
      </c>
      <c r="G67" s="4" t="inlineStr">
        <is>
          <t>Pruebas de exportación segura</t>
        </is>
      </c>
      <c r="H67" s="4" t="inlineStr">
        <is>
          <t>Reporte de pruebas</t>
        </is>
      </c>
      <c r="I67" s="4" t="inlineStr">
        <is>
          <t>Sprint_06/Abner/</t>
        </is>
      </c>
    </row>
    <row r="68">
      <c r="B68" s="2" t="n">
        <v>46360</v>
      </c>
      <c r="C68" s="3">
        <f>CHOOSE(WEEKDAY(B68,2),"lunes","martes","miércoles","jueves","viernes","sábado","domingo")</f>
        <v/>
      </c>
      <c r="D68" s="3" t="n">
        <v>4</v>
      </c>
      <c r="E68" s="4" t="inlineStr">
        <is>
          <t>Tablero, horario y calendario del estudiante (RF-28, RF-37)</t>
        </is>
      </c>
      <c r="F68" s="4" t="inlineStr">
        <is>
          <t>API del tablero (materias, promedios, asistencia y próximas actividades) y calendario consolidado de todas las materias</t>
        </is>
      </c>
      <c r="G68" s="4" t="inlineStr">
        <is>
          <t>API del tablero y calendario del estudiante</t>
        </is>
      </c>
      <c r="H68" s="4" t="inlineStr">
        <is>
          <t>Pruebas Jest y capturas del calendario</t>
        </is>
      </c>
      <c r="I68" s="4" t="inlineStr">
        <is>
          <t>Sprint_06/Abner/</t>
        </is>
      </c>
    </row>
    <row r="69">
      <c r="B69" s="5" t="n">
        <v>46361</v>
      </c>
      <c r="C69" s="6">
        <f>CHOOSE(WEEKDAY(B69,2),"lunes","martes","miércoles","jueves","viernes","sábado","domingo")</f>
        <v/>
      </c>
      <c r="D69" s="6" t="n">
        <v>0</v>
      </c>
      <c r="E69" s="7" t="n"/>
      <c r="F69" s="7" t="n"/>
      <c r="G69" s="7" t="n"/>
      <c r="H69" s="7" t="n"/>
      <c r="I69" s="7" t="n"/>
    </row>
    <row r="70">
      <c r="B70" s="5" t="n">
        <v>46362</v>
      </c>
      <c r="C70" s="6">
        <f>CHOOSE(WEEKDAY(B70,2),"lunes","martes","miércoles","jueves","viernes","sábado","domingo")</f>
        <v/>
      </c>
      <c r="D70" s="6" t="n">
        <v>0</v>
      </c>
      <c r="E70" s="7" t="n"/>
      <c r="F70" s="7" t="n"/>
      <c r="G70" s="7" t="n"/>
      <c r="H70" s="7" t="n"/>
      <c r="I70" s="7" t="n"/>
    </row>
    <row r="71">
      <c r="B71" s="2" t="n">
        <v>46363</v>
      </c>
      <c r="C71" s="3">
        <f>CHOOSE(WEEKDAY(B71,2),"lunes","martes","miércoles","jueves","viernes","sábado","domingo")</f>
        <v/>
      </c>
      <c r="D71" s="3" t="n">
        <v>4</v>
      </c>
      <c r="E71" s="4" t="inlineStr">
        <is>
          <t>Vista del representante: notas y asistencia</t>
        </is>
      </c>
      <c r="F71" s="4" t="inlineStr">
        <is>
          <t>Vista del representante en la PWA</t>
        </is>
      </c>
      <c r="G71" s="4" t="inlineStr">
        <is>
          <t>Vista completa del representante</t>
        </is>
      </c>
      <c r="H71" s="4" t="inlineStr">
        <is>
          <t>Capturas</t>
        </is>
      </c>
      <c r="I71" s="4" t="inlineStr">
        <is>
          <t>Sprint_06/Abner/</t>
        </is>
      </c>
    </row>
    <row r="72">
      <c r="B72" s="8" t="n">
        <v>46364</v>
      </c>
      <c r="C72" s="9">
        <f>CHOOSE(WEEKDAY(B72,2),"lunes","martes","miércoles","jueves","viernes","sábado","domingo")</f>
        <v/>
      </c>
      <c r="D72" s="9" t="n">
        <v>4</v>
      </c>
      <c r="E72" s="10" t="inlineStr">
        <is>
          <t>Integración, demostración e informe del sprint 6</t>
        </is>
      </c>
      <c r="F72" s="10" t="inlineStr">
        <is>
          <t>Informe del sprint 6 y tablero actualizado</t>
        </is>
      </c>
      <c r="G72" s="10" t="inlineStr">
        <is>
          <t>Informe del sprint 6</t>
        </is>
      </c>
      <c r="H72" s="10" t="inlineStr">
        <is>
          <t>docs/sprints/sprint6.md en el repositorio</t>
        </is>
      </c>
      <c r="I72" s="10" t="inlineStr">
        <is>
          <t>Sprint_06/Abner/</t>
        </is>
      </c>
    </row>
    <row r="73">
      <c r="B73" s="2" t="n">
        <v>46365</v>
      </c>
      <c r="C73" s="3">
        <f>CHOOSE(WEEKDAY(B73,2),"lunes","martes","miércoles","jueves","viernes","sábado","domingo")</f>
        <v/>
      </c>
      <c r="D73" s="3" t="n">
        <v>4</v>
      </c>
      <c r="E73" s="4" t="inlineStr">
        <is>
          <t>Modelo y plantilla de la planificación (RF-09)</t>
        </is>
      </c>
      <c r="F73" s="4" t="inlineStr">
        <is>
          <t>Pruebas de validación y límites de tamaño de los campos de texto</t>
        </is>
      </c>
      <c r="G73" s="4" t="inlineStr">
        <is>
          <t>Pruebas de validación de la planificación</t>
        </is>
      </c>
      <c r="H73" s="4" t="inlineStr">
        <is>
          <t>Reporte de Jest con casos negativos</t>
        </is>
      </c>
      <c r="I73" s="4" t="inlineStr">
        <is>
          <t>Sprint_07/Abner/</t>
        </is>
      </c>
    </row>
    <row r="74">
      <c r="B74" s="2" t="n">
        <v>46366</v>
      </c>
      <c r="C74" s="3">
        <f>CHOOSE(WEEKDAY(B74,2),"lunes","martes","miércoles","jueves","viernes","sábado","domingo")</f>
        <v/>
      </c>
      <c r="D74" s="3" t="n">
        <v>4</v>
      </c>
      <c r="E74" s="4" t="inlineStr">
        <is>
          <t>Tabla semanal con actividades ERCA (RF-09)</t>
        </is>
      </c>
      <c r="F74" s="4" t="inlineStr">
        <is>
          <t>Pruebas de XSS en los campos de texto libre y sanitización de la salida</t>
        </is>
      </c>
      <c r="G74" s="4" t="inlineStr">
        <is>
          <t>Pruebas de XSS</t>
        </is>
      </c>
      <c r="H74" s="4" t="inlineStr">
        <is>
          <t>Reporte de pruebas con cargas maliciosas neutralizadas</t>
        </is>
      </c>
      <c r="I74" s="4" t="inlineStr">
        <is>
          <t>Sprint_07/Abner/</t>
        </is>
      </c>
    </row>
    <row r="75">
      <c r="B75" s="2" t="n">
        <v>46367</v>
      </c>
      <c r="C75" s="3">
        <f>CHOOSE(WEEKDAY(B75,2),"lunes","martes","miércoles","jueves","viernes","sábado","domingo")</f>
        <v/>
      </c>
      <c r="D75" s="3" t="n">
        <v>4</v>
      </c>
      <c r="E75" s="4" t="inlineStr">
        <is>
          <t>Estados de la planificación y envío a revisión (RF-10, RF-11)</t>
        </is>
      </c>
      <c r="F75" s="4" t="inlineStr">
        <is>
          <t>Máquina de estados en la API: Borrador → En revisión → Aprobado / Con observaciones</t>
        </is>
      </c>
      <c r="G75" s="4" t="inlineStr">
        <is>
          <t>Máquina de estados</t>
        </is>
      </c>
      <c r="H75" s="4" t="inlineStr">
        <is>
          <t>Pruebas Jest de cada transición</t>
        </is>
      </c>
      <c r="I75" s="4" t="inlineStr">
        <is>
          <t>Sprint_07/Abner/</t>
        </is>
      </c>
    </row>
    <row r="76">
      <c r="B76" s="5" t="n">
        <v>46368</v>
      </c>
      <c r="C76" s="6">
        <f>CHOOSE(WEEKDAY(B76,2),"lunes","martes","miércoles","jueves","viernes","sábado","domingo")</f>
        <v/>
      </c>
      <c r="D76" s="6" t="n">
        <v>0</v>
      </c>
      <c r="E76" s="7" t="n"/>
      <c r="F76" s="7" t="n"/>
      <c r="G76" s="7" t="n"/>
      <c r="H76" s="7" t="n"/>
      <c r="I76" s="7" t="n"/>
    </row>
    <row r="77">
      <c r="B77" s="5" t="n">
        <v>46369</v>
      </c>
      <c r="C77" s="6">
        <f>CHOOSE(WEEKDAY(B77,2),"lunes","martes","miércoles","jueves","viernes","sábado","domingo")</f>
        <v/>
      </c>
      <c r="D77" s="6" t="n">
        <v>0</v>
      </c>
      <c r="E77" s="7" t="n"/>
      <c r="F77" s="7" t="n"/>
      <c r="G77" s="7" t="n"/>
      <c r="H77" s="7" t="n"/>
      <c r="I77" s="7" t="n"/>
    </row>
    <row r="78">
      <c r="B78" s="2" t="n">
        <v>46370</v>
      </c>
      <c r="C78" s="3">
        <f>CHOOSE(WEEKDAY(B78,2),"lunes","martes","miércoles","jueves","viernes","sábado","domingo")</f>
        <v/>
      </c>
      <c r="D78" s="3" t="n">
        <v>4</v>
      </c>
      <c r="E78" s="4" t="inlineStr">
        <is>
          <t>Revisión del Administrador con observaciones (RF-12, RF-13)</t>
        </is>
      </c>
      <c r="F78" s="4" t="inlineStr">
        <is>
          <t>Bandeja de revisión del Administrador en la PWA</t>
        </is>
      </c>
      <c r="G78" s="4" t="inlineStr">
        <is>
          <t>Bandeja de revisión</t>
        </is>
      </c>
      <c r="H78" s="4" t="inlineStr">
        <is>
          <t>Capturas de la bandeja con pendientes</t>
        </is>
      </c>
      <c r="I78" s="4" t="inlineStr">
        <is>
          <t>Sprint_07/Abner/</t>
        </is>
      </c>
    </row>
    <row r="79">
      <c r="B79" s="2" t="n">
        <v>46371</v>
      </c>
      <c r="C79" s="3">
        <f>CHOOSE(WEEKDAY(B79,2),"lunes","martes","miércoles","jueves","viernes","sábado","domingo")</f>
        <v/>
      </c>
      <c r="D79" s="3" t="n">
        <v>4</v>
      </c>
      <c r="E79" s="4" t="inlineStr">
        <is>
          <t>Historial y documento único (RF-14, RNF-09)</t>
        </is>
      </c>
      <c r="F79" s="4" t="inlineStr">
        <is>
          <t>Auditoría de aprobaciones: quién y cuándo aprobó o devolvió</t>
        </is>
      </c>
      <c r="G79" s="4" t="inlineStr">
        <is>
          <t>Auditoría de planificaciones</t>
        </is>
      </c>
      <c r="H79" s="4" t="inlineStr">
        <is>
          <t>Consulta de la tabla de auditoría</t>
        </is>
      </c>
      <c r="I79" s="4" t="inlineStr">
        <is>
          <t>Sprint_07/Abner/</t>
        </is>
      </c>
    </row>
    <row r="80">
      <c r="B80" s="2" t="n">
        <v>46372</v>
      </c>
      <c r="C80" s="3">
        <f>CHOOSE(WEEKDAY(B80,2),"lunes","martes","miércoles","jueves","viernes","sábado","domingo")</f>
        <v/>
      </c>
      <c r="D80" s="3" t="n">
        <v>4</v>
      </c>
      <c r="E80" s="4" t="inlineStr">
        <is>
          <t>Exportación a Word y PDF con el formato oficial (RF-15)</t>
        </is>
      </c>
      <c r="F80" s="4" t="inlineStr">
        <is>
          <t>Comparación del documento generado con el formato oficial del Ministerio</t>
        </is>
      </c>
      <c r="G80" s="4" t="inlineStr">
        <is>
          <t>Verificación del formato</t>
        </is>
      </c>
      <c r="H80" s="4" t="inlineStr">
        <is>
          <t>Documento generado y captura comparativa</t>
        </is>
      </c>
      <c r="I80" s="4" t="inlineStr">
        <is>
          <t>Sprint_07/Abner/</t>
        </is>
      </c>
    </row>
    <row r="81">
      <c r="B81" s="2" t="n">
        <v>46373</v>
      </c>
      <c r="C81" s="3">
        <f>CHOOSE(WEEKDAY(B81,2),"lunes","martes","miércoles","jueves","viernes","sábado","domingo")</f>
        <v/>
      </c>
      <c r="D81" s="3" t="n">
        <v>4</v>
      </c>
      <c r="E81" s="4" t="inlineStr">
        <is>
          <t>Calendario a partir de la planificación (RF-16)</t>
        </is>
      </c>
      <c r="F81" s="4" t="inlineStr">
        <is>
          <t>Pruebas de acceso: el estudiante solo ve el calendario de su curso</t>
        </is>
      </c>
      <c r="G81" s="4" t="inlineStr">
        <is>
          <t>Pruebas de acceso al calendario</t>
        </is>
      </c>
      <c r="H81" s="4" t="inlineStr">
        <is>
          <t>Reporte de pruebas 403</t>
        </is>
      </c>
      <c r="I81" s="4" t="inlineStr">
        <is>
          <t>Sprint_07/Abner/</t>
        </is>
      </c>
    </row>
    <row r="82">
      <c r="B82" s="8" t="n">
        <v>46374</v>
      </c>
      <c r="C82" s="9">
        <f>CHOOSE(WEEKDAY(B82,2),"lunes","martes","miércoles","jueves","viernes","sábado","domingo")</f>
        <v/>
      </c>
      <c r="D82" s="9" t="n">
        <v>4</v>
      </c>
      <c r="E82" s="10" t="inlineStr">
        <is>
          <t>Integración, demostración e informe del sprint 7</t>
        </is>
      </c>
      <c r="F82" s="10" t="inlineStr">
        <is>
          <t>Informe de seguridad: hallazgos de ZAP, SonarQube y Trivy</t>
        </is>
      </c>
      <c r="G82" s="10" t="inlineStr">
        <is>
          <t>Informe de seguridad del sprint 7</t>
        </is>
      </c>
      <c r="H82" s="10" t="inlineStr">
        <is>
          <t>Sección de seguridad en docs/sprints/sprint7.md</t>
        </is>
      </c>
      <c r="I82" s="10" t="inlineStr">
        <is>
          <t>Sprint_07/Abner/</t>
        </is>
      </c>
    </row>
    <row r="83">
      <c r="B83" s="5" t="n">
        <v>46375</v>
      </c>
      <c r="C83" s="6">
        <f>CHOOSE(WEEKDAY(B83,2),"lunes","martes","miércoles","jueves","viernes","sábado","domingo")</f>
        <v/>
      </c>
      <c r="D83" s="6" t="n">
        <v>0</v>
      </c>
      <c r="E83" s="7" t="n"/>
      <c r="F83" s="7" t="n"/>
      <c r="G83" s="7" t="n"/>
      <c r="H83" s="7" t="n"/>
      <c r="I83" s="7" t="n"/>
    </row>
    <row r="84">
      <c r="B84" s="5" t="n">
        <v>46376</v>
      </c>
      <c r="C84" s="6">
        <f>CHOOSE(WEEKDAY(B84,2),"lunes","martes","miércoles","jueves","viernes","sábado","domingo")</f>
        <v/>
      </c>
      <c r="D84" s="6" t="n">
        <v>0</v>
      </c>
      <c r="E84" s="7" t="n"/>
      <c r="F84" s="7" t="n"/>
      <c r="G84" s="7" t="n"/>
      <c r="H84" s="7" t="n"/>
      <c r="I84" s="7" t="n"/>
    </row>
    <row r="85">
      <c r="B85" s="2" t="n">
        <v>46377</v>
      </c>
      <c r="C85" s="3">
        <f>CHOOSE(WEEKDAY(B85,2),"lunes","martes","miércoles","jueves","viernes","sábado","domingo")</f>
        <v/>
      </c>
      <c r="D85" s="3" t="n">
        <v>4</v>
      </c>
      <c r="E85" s="4" t="inlineStr">
        <is>
          <t>Preparación de WhatsApp y consentimiento del representante</t>
        </is>
      </c>
      <c r="F85" s="4" t="inlineStr">
        <is>
          <t>Cuenta de WhatsApp Cloud API con número de prueba y token en GitHub Secrets</t>
        </is>
      </c>
      <c r="G85" s="4" t="inlineStr">
        <is>
          <t>Cuenta de WhatsApp de prueba</t>
        </is>
      </c>
      <c r="H85" s="4" t="inlineStr">
        <is>
          <t>Captura de la configuración (sin valores)</t>
        </is>
      </c>
      <c r="I85" s="4" t="inlineStr">
        <is>
          <t>Sprint_08/Abner/</t>
        </is>
      </c>
    </row>
    <row r="86">
      <c r="B86" s="2" t="n">
        <v>46378</v>
      </c>
      <c r="C86" s="3">
        <f>CHOOSE(WEEKDAY(B86,2),"lunes","martes","miércoles","jueves","viernes","sábado","domingo")</f>
        <v/>
      </c>
      <c r="D86" s="3" t="n">
        <v>4</v>
      </c>
      <c r="E86" s="4" t="inlineStr">
        <is>
          <t>Adaptador de WhatsApp y plantillas de mensajes (RNF-05)</t>
        </is>
      </c>
      <c r="F86" s="4" t="inlineStr">
        <is>
          <t>Plantillas de mensajes sin datos sensibles innecesarios</t>
        </is>
      </c>
      <c r="G86" s="4" t="inlineStr">
        <is>
          <t>Plantillas de mensajes</t>
        </is>
      </c>
      <c r="H86" s="4" t="inlineStr">
        <is>
          <t>Plantillas en el repositorio</t>
        </is>
      </c>
      <c r="I86" s="4" t="inlineStr">
        <is>
          <t>Sprint_08/Abner/</t>
        </is>
      </c>
    </row>
    <row r="87">
      <c r="B87" s="2" t="n">
        <v>46379</v>
      </c>
      <c r="C87" s="3">
        <f>CHOOSE(WEEKDAY(B87,2),"lunes","martes","miércoles","jueves","viernes","sábado","domingo")</f>
        <v/>
      </c>
      <c r="D87" s="3" t="n">
        <v>4</v>
      </c>
      <c r="E87" s="4" t="inlineStr">
        <is>
          <t>Avisos automáticos por promedio y faltas (RF-30, RF-31, RF-35)</t>
        </is>
      </c>
      <c r="F87" s="4" t="inlineStr">
        <is>
          <t>Disparadores: promedio bajo 7 y falta o atraso sin justificar</t>
        </is>
      </c>
      <c r="G87" s="4" t="inlineStr">
        <is>
          <t>Disparadores de avisos</t>
        </is>
      </c>
      <c r="H87" s="4" t="inlineStr">
        <is>
          <t>Pruebas Jest</t>
        </is>
      </c>
      <c r="I87" s="4" t="inlineStr">
        <is>
          <t>Sprint_08/Abner/</t>
        </is>
      </c>
    </row>
    <row r="88">
      <c r="B88" s="2" t="n">
        <v>46380</v>
      </c>
      <c r="C88" s="3">
        <f>CHOOSE(WEEKDAY(B88,2),"lunes","martes","miércoles","jueves","viernes","sábado","domingo")</f>
        <v/>
      </c>
      <c r="D88" s="3" t="n">
        <v>4</v>
      </c>
      <c r="E88" s="4" t="inlineStr">
        <is>
          <t>Antiduplicados y avisos de tareas (RF-32, RF-34)</t>
        </is>
      </c>
      <c r="F88" s="4" t="inlineStr">
        <is>
          <t>Pruebas: no se envía a números sin autorización ni se repite el mismo motivo</t>
        </is>
      </c>
      <c r="G88" s="4" t="inlineStr">
        <is>
          <t>Pruebas de consentimiento</t>
        </is>
      </c>
      <c r="H88" s="4" t="inlineStr">
        <is>
          <t>Reporte de pruebas</t>
        </is>
      </c>
      <c r="I88" s="4" t="inlineStr">
        <is>
          <t>Sprint_08/Abner/</t>
        </is>
      </c>
    </row>
    <row r="89">
      <c r="B89" s="5" t="n">
        <v>46381</v>
      </c>
      <c r="C89" s="6">
        <f>CHOOSE(WEEKDAY(B89,2),"lunes","martes","miércoles","jueves","viernes","sábado","domingo")</f>
        <v/>
      </c>
      <c r="D89" s="6" t="n">
        <v>0</v>
      </c>
      <c r="E89" s="7" t="inlineStr">
        <is>
          <t>Feriado: Navidad</t>
        </is>
      </c>
      <c r="F89" s="7" t="n"/>
      <c r="G89" s="7" t="n"/>
      <c r="H89" s="7" t="n"/>
      <c r="I89" s="7" t="n"/>
    </row>
    <row r="90">
      <c r="B90" s="5" t="n">
        <v>46382</v>
      </c>
      <c r="C90" s="6">
        <f>CHOOSE(WEEKDAY(B90,2),"lunes","martes","miércoles","jueves","viernes","sábado","domingo")</f>
        <v/>
      </c>
      <c r="D90" s="6" t="n">
        <v>0</v>
      </c>
      <c r="E90" s="7" t="n"/>
      <c r="F90" s="7" t="n"/>
      <c r="G90" s="7" t="n"/>
      <c r="H90" s="7" t="n"/>
      <c r="I90" s="7" t="n"/>
    </row>
    <row r="91">
      <c r="B91" s="5" t="n">
        <v>46383</v>
      </c>
      <c r="C91" s="6">
        <f>CHOOSE(WEEKDAY(B91,2),"lunes","martes","miércoles","jueves","viernes","sábado","domingo")</f>
        <v/>
      </c>
      <c r="D91" s="6" t="n">
        <v>0</v>
      </c>
      <c r="E91" s="7" t="n"/>
      <c r="F91" s="7" t="n"/>
      <c r="G91" s="7" t="n"/>
      <c r="H91" s="7" t="n"/>
      <c r="I91" s="7" t="n"/>
    </row>
    <row r="92">
      <c r="B92" s="2" t="n">
        <v>46384</v>
      </c>
      <c r="C92" s="3">
        <f>CHOOSE(WEEKDAY(B92,2),"lunes","martes","miércoles","jueves","viernes","sábado","domingo")</f>
        <v/>
      </c>
      <c r="D92" s="3" t="n">
        <v>4</v>
      </c>
      <c r="E92" s="4" t="inlineStr">
        <is>
          <t>Historial de notificaciones (RF-33) e integración</t>
        </is>
      </c>
      <c r="F92" s="4" t="inlineStr">
        <is>
          <t>Prueba e2e del criterio de aceptación 3 (alerta y aviso registrados)</t>
        </is>
      </c>
      <c r="G92" s="4" t="inlineStr">
        <is>
          <t>Prueba de aceptación 3</t>
        </is>
      </c>
      <c r="H92" s="4" t="inlineStr">
        <is>
          <t>Reporte de Playwright y captura del historial</t>
        </is>
      </c>
      <c r="I92" s="4" t="inlineStr">
        <is>
          <t>Sprint_08/Abner/</t>
        </is>
      </c>
    </row>
    <row r="93">
      <c r="B93" s="8" t="n">
        <v>46385</v>
      </c>
      <c r="C93" s="9">
        <f>CHOOSE(WEEKDAY(B93,2),"lunes","martes","miércoles","jueves","viernes","sábado","domingo")</f>
        <v/>
      </c>
      <c r="D93" s="9" t="n">
        <v>4</v>
      </c>
      <c r="E93" s="10" t="inlineStr">
        <is>
          <t>Integración, demostración e informe del sprint 8</t>
        </is>
      </c>
      <c r="F93" s="10" t="inlineStr">
        <is>
          <t>PR dev → test con las notificaciones</t>
        </is>
      </c>
      <c r="G93" s="10" t="inlineStr">
        <is>
          <t>PR del sprint 8</t>
        </is>
      </c>
      <c r="H93" s="10" t="inlineStr">
        <is>
          <t>PR unido a test con el CI en verde</t>
        </is>
      </c>
      <c r="I93" s="10" t="inlineStr">
        <is>
          <t>Sprint_08/Abner/</t>
        </is>
      </c>
    </row>
    <row r="94">
      <c r="B94" s="2" t="n">
        <v>46386</v>
      </c>
      <c r="C94" s="3">
        <f>CHOOSE(WEEKDAY(B94,2),"lunes","martes","miércoles","jueves","viernes","sábado","domingo")</f>
        <v/>
      </c>
      <c r="D94" s="3" t="n">
        <v>4</v>
      </c>
      <c r="E94" s="4" t="inlineStr">
        <is>
          <t>Almacenamiento local y service worker (RNF-01)</t>
        </is>
      </c>
      <c r="F94" s="4" t="inlineStr">
        <is>
          <t>Borrado de los datos locales al cerrar sesión (equipos compartidos)</t>
        </is>
      </c>
      <c r="G94" s="4" t="inlineStr">
        <is>
          <t>Limpieza de datos locales</t>
        </is>
      </c>
      <c r="H94" s="4" t="inlineStr">
        <is>
          <t>Prueba con captura antes y después del cierre de sesión</t>
        </is>
      </c>
      <c r="I94" s="4" t="inlineStr">
        <is>
          <t>Sprint_09/Abner/</t>
        </is>
      </c>
    </row>
    <row r="95">
      <c r="B95" s="2" t="n">
        <v>46387</v>
      </c>
      <c r="C95" s="3">
        <f>CHOOSE(WEEKDAY(B95,2),"lunes","martes","miércoles","jueves","viernes","sábado","domingo")</f>
        <v/>
      </c>
      <c r="D95" s="3" t="n">
        <v>4</v>
      </c>
      <c r="E95" s="4" t="inlineStr">
        <is>
          <t>Cola de cambios sin conexión</t>
        </is>
      </c>
      <c r="F95" s="4" t="inlineStr">
        <is>
          <t>Endpoint de sincronización idempotente (el mismo cambio enviado dos veces se guarda una sola vez)</t>
        </is>
      </c>
      <c r="G95" s="4" t="inlineStr">
        <is>
          <t>Endpoint de sincronización</t>
        </is>
      </c>
      <c r="H95" s="4" t="inlineStr">
        <is>
          <t>Pruebas Jest con envíos repetidos</t>
        </is>
      </c>
      <c r="I95" s="4" t="inlineStr">
        <is>
          <t>Sprint_09/Abner/</t>
        </is>
      </c>
    </row>
    <row r="96">
      <c r="B96" s="5" t="n">
        <v>46388</v>
      </c>
      <c r="C96" s="6">
        <f>CHOOSE(WEEKDAY(B96,2),"lunes","martes","miércoles","jueves","viernes","sábado","domingo")</f>
        <v/>
      </c>
      <c r="D96" s="6" t="n">
        <v>0</v>
      </c>
      <c r="E96" s="7" t="inlineStr">
        <is>
          <t>Feriado: Año Nuevo</t>
        </is>
      </c>
      <c r="F96" s="7" t="n"/>
      <c r="G96" s="7" t="n"/>
      <c r="H96" s="7" t="n"/>
      <c r="I96" s="7" t="n"/>
    </row>
    <row r="97">
      <c r="B97" s="5" t="n">
        <v>46389</v>
      </c>
      <c r="C97" s="6">
        <f>CHOOSE(WEEKDAY(B97,2),"lunes","martes","miércoles","jueves","viernes","sábado","domingo")</f>
        <v/>
      </c>
      <c r="D97" s="6" t="n">
        <v>0</v>
      </c>
      <c r="E97" s="7" t="n"/>
      <c r="F97" s="7" t="n"/>
      <c r="G97" s="7" t="n"/>
      <c r="H97" s="7" t="n"/>
      <c r="I97" s="7" t="n"/>
    </row>
    <row r="98">
      <c r="B98" s="5" t="n">
        <v>46390</v>
      </c>
      <c r="C98" s="6">
        <f>CHOOSE(WEEKDAY(B98,2),"lunes","martes","miércoles","jueves","viernes","sábado","domingo")</f>
        <v/>
      </c>
      <c r="D98" s="6" t="n">
        <v>0</v>
      </c>
      <c r="E98" s="7" t="n"/>
      <c r="F98" s="7" t="n"/>
      <c r="G98" s="7" t="n"/>
      <c r="H98" s="7" t="n"/>
      <c r="I98" s="7" t="n"/>
    </row>
    <row r="99">
      <c r="B99" s="2" t="n">
        <v>46391</v>
      </c>
      <c r="C99" s="3">
        <f>CHOOSE(WEEKDAY(B99,2),"lunes","martes","miércoles","jueves","viernes","sábado","domingo")</f>
        <v/>
      </c>
      <c r="D99" s="3" t="n">
        <v>4</v>
      </c>
      <c r="E99" s="4" t="inlineStr">
        <is>
          <t>Sincronización y conflictos</t>
        </is>
      </c>
      <c r="F99" s="4" t="inlineStr">
        <is>
          <t>Estrategia de conflictos y aviso al docente</t>
        </is>
      </c>
      <c r="G99" s="4" t="inlineStr">
        <is>
          <t>Resolución de conflictos</t>
        </is>
      </c>
      <c r="H99" s="4" t="inlineStr">
        <is>
          <t>Prueba de un conflicto resuelto</t>
        </is>
      </c>
      <c r="I99" s="4" t="inlineStr">
        <is>
          <t>Sprint_09/Abner/</t>
        </is>
      </c>
    </row>
    <row r="100">
      <c r="B100" s="2" t="n">
        <v>46392</v>
      </c>
      <c r="C100" s="3">
        <f>CHOOSE(WEEKDAY(B100,2),"lunes","martes","miércoles","jueves","viernes","sábado","domingo")</f>
        <v/>
      </c>
      <c r="D100" s="3" t="n">
        <v>4</v>
      </c>
      <c r="E100" s="4" t="inlineStr">
        <is>
          <t>Pruebas del modo sin conexión</t>
        </is>
      </c>
      <c r="F100" s="4" t="inlineStr">
        <is>
          <t>Revisión de la seguridad de los datos guardados en el dispositivo</t>
        </is>
      </c>
      <c r="G100" s="4" t="inlineStr">
        <is>
          <t>Revisión de datos locales</t>
        </is>
      </c>
      <c r="H100" s="4" t="inlineStr">
        <is>
          <t>Checklist en docs/seguridad/</t>
        </is>
      </c>
      <c r="I100" s="4" t="inlineStr">
        <is>
          <t>Sprint_09/Abner/</t>
        </is>
      </c>
    </row>
    <row r="101">
      <c r="B101" s="2" t="n">
        <v>46393</v>
      </c>
      <c r="C101" s="3">
        <f>CHOOSE(WEEKDAY(B101,2),"lunes","martes","miércoles","jueves","viernes","sábado","domingo")</f>
        <v/>
      </c>
      <c r="D101" s="3" t="n">
        <v>4</v>
      </c>
      <c r="E101" s="4" t="inlineStr">
        <is>
          <t>Integración del trabajo sin conexión y PWA instalable</t>
        </is>
      </c>
      <c r="F101" s="4" t="inlineStr">
        <is>
          <t>Despliegue en el ambiente de pruebas</t>
        </is>
      </c>
      <c r="G101" s="4" t="inlineStr">
        <is>
          <t>Ambiente actualizado</t>
        </is>
      </c>
      <c r="H101" s="4" t="inlineStr">
        <is>
          <t>Ejecución del job de despliegue</t>
        </is>
      </c>
      <c r="I101" s="4" t="inlineStr">
        <is>
          <t>Sprint_09/Abner/</t>
        </is>
      </c>
    </row>
    <row r="102">
      <c r="B102" s="2" t="n">
        <v>46394</v>
      </c>
      <c r="C102" s="3">
        <f>CHOOSE(WEEKDAY(B102,2),"lunes","martes","miércoles","jueves","viernes","sábado","domingo")</f>
        <v/>
      </c>
      <c r="D102" s="3" t="n">
        <v>4</v>
      </c>
      <c r="E102" s="4" t="inlineStr">
        <is>
          <t>Rendimiento con usuarios simultáneos (RNF-06)</t>
        </is>
      </c>
      <c r="F102" s="4" t="inlineStr">
        <is>
          <t>Prueba de carga con k6: 60 docentes y 400 estudiantes, y carga creciente hasta el punto de falla</t>
        </is>
      </c>
      <c r="G102" s="4" t="inlineStr">
        <is>
          <t>Prueba de carga</t>
        </is>
      </c>
      <c r="H102" s="4" t="inlineStr">
        <is>
          <t>Reporte de k6 con el punto de falla</t>
        </is>
      </c>
      <c r="I102" s="4" t="inlineStr">
        <is>
          <t>Sprint_09/Abner/</t>
        </is>
      </c>
    </row>
    <row r="103">
      <c r="B103" s="8" t="n">
        <v>46395</v>
      </c>
      <c r="C103" s="9">
        <f>CHOOSE(WEEKDAY(B103,2),"lunes","martes","miércoles","jueves","viernes","sábado","domingo")</f>
        <v/>
      </c>
      <c r="D103" s="9" t="n">
        <v>4</v>
      </c>
      <c r="E103" s="10" t="inlineStr">
        <is>
          <t>Integración, demostración e informe del sprint 9</t>
        </is>
      </c>
      <c r="F103" s="10" t="inlineStr">
        <is>
          <t>Demostración: registrar notas sin internet y sincronizar</t>
        </is>
      </c>
      <c r="G103" s="10" t="inlineStr">
        <is>
          <t>Trabajo sin conexión</t>
        </is>
      </c>
      <c r="H103" s="10" t="inlineStr">
        <is>
          <t>Grabación de la demostración</t>
        </is>
      </c>
      <c r="I103" s="10" t="inlineStr">
        <is>
          <t>Sprint_09/Abner/</t>
        </is>
      </c>
    </row>
    <row r="104">
      <c r="B104" s="5" t="n">
        <v>46396</v>
      </c>
      <c r="C104" s="6">
        <f>CHOOSE(WEEKDAY(B104,2),"lunes","martes","miércoles","jueves","viernes","sábado","domingo")</f>
        <v/>
      </c>
      <c r="D104" s="6" t="n">
        <v>0</v>
      </c>
      <c r="E104" s="7" t="n"/>
      <c r="F104" s="7" t="n"/>
      <c r="G104" s="7" t="n"/>
      <c r="H104" s="7" t="n"/>
      <c r="I104" s="7" t="n"/>
    </row>
    <row r="105">
      <c r="B105" s="5" t="n">
        <v>46397</v>
      </c>
      <c r="C105" s="6">
        <f>CHOOSE(WEEKDAY(B105,2),"lunes","martes","miércoles","jueves","viernes","sábado","domingo")</f>
        <v/>
      </c>
      <c r="D105" s="6" t="n">
        <v>0</v>
      </c>
      <c r="E105" s="7" t="n"/>
      <c r="F105" s="7" t="n"/>
      <c r="G105" s="7" t="n"/>
      <c r="H105" s="7" t="n"/>
      <c r="I105" s="7" t="n"/>
    </row>
    <row r="106">
      <c r="B106" s="2" t="n">
        <v>46398</v>
      </c>
      <c r="C106" s="3">
        <f>CHOOSE(WEEKDAY(B106,2),"lunes","martes","miércoles","jueves","viernes","sábado","domingo")</f>
        <v/>
      </c>
      <c r="D106" s="3" t="n">
        <v>4</v>
      </c>
      <c r="E106" s="4" t="inlineStr">
        <is>
          <t>Pruebas de aceptación con los criterios del SRS</t>
        </is>
      </c>
      <c r="F106" s="4" t="inlineStr">
        <is>
          <t>DAST completo con ZAP y escaneo final con Trivy</t>
        </is>
      </c>
      <c r="G106" s="4" t="inlineStr">
        <is>
          <t>Informe de seguridad final</t>
        </is>
      </c>
      <c r="H106" s="4" t="inlineStr">
        <is>
          <t>Reportes de ZAP y Trivy</t>
        </is>
      </c>
      <c r="I106" s="4" t="inlineStr">
        <is>
          <t>Sprint_10/Abner/</t>
        </is>
      </c>
    </row>
    <row r="107">
      <c r="B107" s="2" t="n">
        <v>46399</v>
      </c>
      <c r="C107" s="3">
        <f>CHOOSE(WEEKDAY(B107,2),"lunes","martes","miércoles","jueves","viernes","sábado","domingo")</f>
        <v/>
      </c>
      <c r="D107" s="3" t="n">
        <v>4</v>
      </c>
      <c r="E107" s="4" t="inlineStr">
        <is>
          <t>Corrección de hallazgos y pruebas finales</t>
        </is>
      </c>
      <c r="F107" s="4" t="inlineStr">
        <is>
          <t>Corrección de hallazgos de seguridad y quality gate final</t>
        </is>
      </c>
      <c r="G107" s="4" t="inlineStr">
        <is>
          <t>Correcciones de seguridad</t>
        </is>
      </c>
      <c r="H107" s="4" t="inlineStr">
        <is>
          <t>Captura del quality gate aprobado</t>
        </is>
      </c>
      <c r="I107" s="4" t="inlineStr">
        <is>
          <t>Sprint_10/Abner/</t>
        </is>
      </c>
    </row>
    <row r="108">
      <c r="B108" s="2" t="n">
        <v>46400</v>
      </c>
      <c r="C108" s="3">
        <f>CHOOSE(WEEKDAY(B108,2),"lunes","martes","miércoles","jueves","viernes","sábado","domingo")</f>
        <v/>
      </c>
      <c r="D108" s="3" t="n">
        <v>4</v>
      </c>
      <c r="E108" s="4" t="inlineStr">
        <is>
          <t>Despliegue final y release</t>
        </is>
      </c>
      <c r="F108" s="4" t="inlineStr">
        <is>
          <t>PR test → main, release v1.0.0 e imágenes publicadas en GHCR</t>
        </is>
      </c>
      <c r="G108" s="4" t="inlineStr">
        <is>
          <t>Release v1.0.0</t>
        </is>
      </c>
      <c r="H108" s="4" t="inlineStr">
        <is>
          <t>Release en GitHub y ejecución del CI en main</t>
        </is>
      </c>
      <c r="I108" s="4" t="inlineStr">
        <is>
          <t>Sprint_10/Abner/</t>
        </is>
      </c>
    </row>
    <row r="109">
      <c r="B109" s="2" t="n">
        <v>46401</v>
      </c>
      <c r="C109" s="3">
        <f>CHOOSE(WEEKDAY(B109,2),"lunes","martes","miércoles","jueves","viernes","sábado","domingo")</f>
        <v/>
      </c>
      <c r="D109" s="3" t="n">
        <v>4</v>
      </c>
      <c r="E109" s="4" t="inlineStr">
        <is>
          <t>Documentación y capacitación (RNF-11)</t>
        </is>
      </c>
      <c r="F109" s="4" t="inlineStr">
        <is>
          <t>Informe final de seguridad y del pipeline</t>
        </is>
      </c>
      <c r="G109" s="4" t="inlineStr">
        <is>
          <t>Informe de seguridad</t>
        </is>
      </c>
      <c r="H109" s="4" t="inlineStr">
        <is>
          <t>Informe en docs/seguridad/</t>
        </is>
      </c>
      <c r="I109" s="4" t="inlineStr">
        <is>
          <t>Sprint_10/Abner/</t>
        </is>
      </c>
    </row>
    <row r="110">
      <c r="B110" s="8" t="n">
        <v>46402</v>
      </c>
      <c r="C110" s="9">
        <f>CHOOSE(WEEKDAY(B110,2),"lunes","martes","miércoles","jueves","viernes","sábado","domingo")</f>
        <v/>
      </c>
      <c r="D110" s="9" t="n">
        <v>4</v>
      </c>
      <c r="E110" s="10" t="inlineStr">
        <is>
          <t>Presentación final y entrega</t>
        </is>
      </c>
      <c r="F110" s="10" t="inlineStr">
        <is>
          <t>Demostración final de la plataforma</t>
        </is>
      </c>
      <c r="G110" s="10" t="inlineStr">
        <is>
          <t>Plataforma v1.0.0</t>
        </is>
      </c>
      <c r="H110" s="10" t="inlineStr">
        <is>
          <t>Grabación de la demostración</t>
        </is>
      </c>
      <c r="I110" s="10" t="inlineStr">
        <is>
          <t>Sprint_10/Abner/</t>
        </is>
      </c>
    </row>
    <row r="111">
      <c r="C111" s="11" t="inlineStr">
        <is>
          <t>Total horas</t>
        </is>
      </c>
      <c r="D111" s="11">
        <f>SUM(D3:D110)</f>
        <v/>
      </c>
    </row>
  </sheetData>
  <hyperlinks>
    <hyperlink xmlns:r="http://schemas.openxmlformats.org/officeDocument/2006/relationships" ref="G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8" customWidth="1" min="4" max="4"/>
    <col width="38" customWidth="1" min="5" max="5"/>
    <col width="60" customWidth="1" min="6" max="6"/>
    <col width="36" customWidth="1" min="7" max="7"/>
    <col width="42" customWidth="1" min="8" max="8"/>
    <col width="24" customWidth="1" min="9" max="9"/>
  </cols>
  <sheetData>
    <row r="1">
      <c r="B1" s="12" t="inlineStr">
        <is>
          <t>Christian Bonifaz – Participante 3: responsable de frontend PWA y trabajo sin conexión (rota en los módulos)</t>
        </is>
      </c>
      <c r="G1" s="13" t="inlineStr">
        <is>
          <t>Evidencias en Google Drive (abrir carpeta)</t>
        </is>
      </c>
    </row>
    <row r="2">
      <c r="B2" s="1" t="inlineStr">
        <is>
          <t>Fecha</t>
        </is>
      </c>
      <c r="C2" s="1" t="inlineStr">
        <is>
          <t>Dia</t>
        </is>
      </c>
      <c r="D2" s="1" t="inlineStr">
        <is>
          <t>Horas</t>
        </is>
      </c>
      <c r="E2" s="1" t="inlineStr">
        <is>
          <t>Actividad</t>
        </is>
      </c>
      <c r="F2" s="1" t="inlineStr">
        <is>
          <t>Subactividad</t>
        </is>
      </c>
      <c r="G2" s="1" t="inlineStr">
        <is>
          <t>Entregable</t>
        </is>
      </c>
      <c r="H2" s="1" t="inlineStr">
        <is>
          <t>Evidencia</t>
        </is>
      </c>
      <c r="I2" s="1" t="inlineStr">
        <is>
          <t>Carpeta en Drive</t>
        </is>
      </c>
    </row>
    <row r="3">
      <c r="B3" s="2" t="n">
        <v>46295</v>
      </c>
      <c r="C3" s="3">
        <f>CHOOSE(WEEKDAY(B3,2),"lunes","martes","miércoles","jueves","viernes","sábado","domingo")</f>
        <v/>
      </c>
      <c r="D3" s="3" t="n">
        <v>4</v>
      </c>
      <c r="E3" s="4" t="inlineStr">
        <is>
          <t>Definición del tema del proyecto y del cliente</t>
        </is>
      </c>
      <c r="F3" s="4" t="inlineStr">
        <is>
          <t>Revisión del prototipo inicial y lista de funcionalidades que ya muestra</t>
        </is>
      </c>
      <c r="G3" s="4" t="inlineStr">
        <is>
          <t>Lista de funcionalidades del prototipo</t>
        </is>
      </c>
      <c r="H3" s="4" t="inlineStr">
        <is>
          <t>Capturas del prototipo en el Drive</t>
        </is>
      </c>
      <c r="I3" s="4" t="inlineStr">
        <is>
          <t>Sprint_01/Christian/</t>
        </is>
      </c>
    </row>
    <row r="4">
      <c r="B4" s="2" t="n">
        <v>46296</v>
      </c>
      <c r="C4" s="3">
        <f>CHOOSE(WEEKDAY(B4,2),"lunes","martes","miércoles","jueves","viernes","sábado","domingo")</f>
        <v/>
      </c>
      <c r="D4" s="3" t="n">
        <v>4</v>
      </c>
      <c r="E4" s="4" t="inlineStr">
        <is>
          <t>Problemática y necesidad del proyecto</t>
        </is>
      </c>
      <c r="F4" s="4" t="inlineStr">
        <is>
          <t>Necesidad y oportunidad, sin mencionar tecnologías</t>
        </is>
      </c>
      <c r="G4" s="4" t="inlineStr">
        <is>
          <t>Necesidad y oportunidad</t>
        </is>
      </c>
      <c r="H4" s="4" t="inlineStr">
        <is>
          <t>Borrador del Entregable 1 en el Drive</t>
        </is>
      </c>
      <c r="I4" s="4" t="inlineStr">
        <is>
          <t>Sprint_01/Christian/</t>
        </is>
      </c>
    </row>
    <row r="5">
      <c r="B5" s="2" t="n">
        <v>46297</v>
      </c>
      <c r="C5" s="3">
        <f>CHOOSE(WEEKDAY(B5,2),"lunes","martes","miércoles","jueves","viernes","sábado","domingo")</f>
        <v/>
      </c>
      <c r="D5" s="3" t="n">
        <v>4</v>
      </c>
      <c r="E5" s="4" t="inlineStr">
        <is>
          <t>Matriz del ciclo de vida (SDLC) aplicada al proyecto</t>
        </is>
      </c>
      <c r="F5" s="4" t="inlineStr">
        <is>
          <t>Fases 7 y 8 y diagrama visual del SDLC</t>
        </is>
      </c>
      <c r="G5" s="4" t="inlineStr">
        <is>
          <t>Diagrama del SDLC</t>
        </is>
      </c>
      <c r="H5" s="4" t="inlineStr">
        <is>
          <t>Imagen del diagrama en el Drive</t>
        </is>
      </c>
      <c r="I5" s="4" t="inlineStr">
        <is>
          <t>Sprint_01/Christian/</t>
        </is>
      </c>
    </row>
    <row r="6">
      <c r="B6" s="5" t="n">
        <v>46298</v>
      </c>
      <c r="C6" s="6">
        <f>CHOOSE(WEEKDAY(B6,2),"lunes","martes","miércoles","jueves","viernes","sábado","domingo")</f>
        <v/>
      </c>
      <c r="D6" s="6" t="n">
        <v>0</v>
      </c>
      <c r="E6" s="7" t="n"/>
      <c r="F6" s="7" t="n"/>
      <c r="G6" s="7" t="n"/>
      <c r="H6" s="7" t="n"/>
      <c r="I6" s="7" t="n"/>
    </row>
    <row r="7">
      <c r="B7" s="5" t="n">
        <v>46299</v>
      </c>
      <c r="C7" s="6">
        <f>CHOOSE(WEEKDAY(B7,2),"lunes","martes","miércoles","jueves","viernes","sábado","domingo")</f>
        <v/>
      </c>
      <c r="D7" s="6" t="n">
        <v>0</v>
      </c>
      <c r="E7" s="7" t="n"/>
      <c r="F7" s="7" t="n"/>
      <c r="G7" s="7" t="n"/>
      <c r="H7" s="7" t="n"/>
      <c r="I7" s="7" t="n"/>
    </row>
    <row r="8">
      <c r="B8" s="2" t="n">
        <v>46300</v>
      </c>
      <c r="C8" s="3">
        <f>CHOOSE(WEEKDAY(B8,2),"lunes","martes","miércoles","jueves","viernes","sábado","domingo")</f>
        <v/>
      </c>
      <c r="D8" s="3" t="n">
        <v>4</v>
      </c>
      <c r="E8" s="4" t="inlineStr">
        <is>
          <t>Relación necesidad → requisito → artefacto</t>
        </is>
      </c>
      <c r="F8" s="4" t="inlineStr">
        <is>
          <t>Necesidad 5: trabajo sin conexión y revisión conjunta de la tabla</t>
        </is>
      </c>
      <c r="G8" s="4" t="inlineStr">
        <is>
          <t>Fila 5 y tabla revisada</t>
        </is>
      </c>
      <c r="H8" s="4" t="inlineStr">
        <is>
          <t>Tabla en el borrador del Entregable 1</t>
        </is>
      </c>
      <c r="I8" s="4" t="inlineStr">
        <is>
          <t>Sprint_01/Christian/</t>
        </is>
      </c>
    </row>
    <row r="9">
      <c r="B9" s="8" t="n">
        <v>46301</v>
      </c>
      <c r="C9" s="9">
        <f>CHOOSE(WEEKDAY(B9,2),"lunes","martes","miércoles","jueves","viernes","sábado","domingo")</f>
        <v/>
      </c>
      <c r="D9" s="9" t="n">
        <v>4</v>
      </c>
      <c r="E9" s="10" t="inlineStr">
        <is>
          <t>Revisión y entrega del Entregable 1 (Propuesta de SI) – cierre del sprint 1</t>
        </is>
      </c>
      <c r="F9" s="10" t="inlineStr">
        <is>
          <t>Formato final, diagramas y exportación a PDF</t>
        </is>
      </c>
      <c r="G9" s="10" t="inlineStr">
        <is>
          <t>PDF final</t>
        </is>
      </c>
      <c r="H9" s="10" t="inlineStr">
        <is>
          <t>PDF del Entregable 1 en el Drive</t>
        </is>
      </c>
      <c r="I9" s="10" t="inlineStr">
        <is>
          <t>Sprint_01/Christian/</t>
        </is>
      </c>
    </row>
    <row r="10">
      <c r="B10" s="2" t="n">
        <v>46302</v>
      </c>
      <c r="C10" s="3">
        <f>CHOOSE(WEEKDAY(B10,2),"lunes","martes","miércoles","jueves","viernes","sábado","domingo")</f>
        <v/>
      </c>
      <c r="D10" s="3" t="n">
        <v>4</v>
      </c>
      <c r="E10" s="4" t="inlineStr">
        <is>
          <t>Proceso de negocio actual y propuesto</t>
        </is>
      </c>
      <c r="F10" s="4" t="inlineStr">
        <is>
          <t>Jerarquía del proceso: macroproceso, procesos y subprocesos</t>
        </is>
      </c>
      <c r="G10" s="4" t="inlineStr">
        <is>
          <t>Jerarquía de procesos</t>
        </is>
      </c>
      <c r="H10" s="4" t="inlineStr">
        <is>
          <t>Tabla en el borrador del Entregable 2</t>
        </is>
      </c>
      <c r="I10" s="4" t="inlineStr">
        <is>
          <t>Sprint_02/Christian/</t>
        </is>
      </c>
    </row>
    <row r="11">
      <c r="B11" s="2" t="n">
        <v>46303</v>
      </c>
      <c r="C11" s="3">
        <f>CHOOSE(WEEKDAY(B11,2),"lunes","martes","miércoles","jueves","viernes","sábado","domingo")</f>
        <v/>
      </c>
      <c r="D11" s="3" t="n">
        <v>4</v>
      </c>
      <c r="E11" s="4" t="inlineStr">
        <is>
          <t>Modelo BPMN del proceso en Bizagi</t>
        </is>
      </c>
      <c r="F11" s="4" t="inlineStr">
        <is>
          <t>Carril de la plataforma: cálculo, calendario y avisos; exportación a imagen</t>
        </is>
      </c>
      <c r="G11" s="4" t="inlineStr">
        <is>
          <t>Modelo BPMN completo</t>
        </is>
      </c>
      <c r="H11" s="4" t="inlineStr">
        <is>
          <t>Modelo.png en 01_Modelos/Procesos_BPMN</t>
        </is>
      </c>
      <c r="I11" s="4" t="inlineStr">
        <is>
          <t>01_Modelos/Procesos_BPMN/</t>
        </is>
      </c>
    </row>
    <row r="12">
      <c r="B12" s="5" t="n">
        <v>46304</v>
      </c>
      <c r="C12" s="6">
        <f>CHOOSE(WEEKDAY(B12,2),"lunes","martes","miércoles","jueves","viernes","sábado","domingo")</f>
        <v/>
      </c>
      <c r="D12" s="6" t="n">
        <v>0</v>
      </c>
      <c r="E12" s="7" t="inlineStr">
        <is>
          <t>Feriado: Independencia de Guayaquil</t>
        </is>
      </c>
      <c r="F12" s="7" t="n"/>
      <c r="G12" s="7" t="n"/>
      <c r="H12" s="7" t="n"/>
      <c r="I12" s="7" t="n"/>
    </row>
    <row r="13">
      <c r="B13" s="5" t="n">
        <v>46305</v>
      </c>
      <c r="C13" s="6">
        <f>CHOOSE(WEEKDAY(B13,2),"lunes","martes","miércoles","jueves","viernes","sábado","domingo")</f>
        <v/>
      </c>
      <c r="D13" s="6" t="n">
        <v>0</v>
      </c>
      <c r="E13" s="7" t="n"/>
      <c r="F13" s="7" t="n"/>
      <c r="G13" s="7" t="n"/>
      <c r="H13" s="7" t="n"/>
      <c r="I13" s="7" t="n"/>
    </row>
    <row r="14">
      <c r="B14" s="5" t="n">
        <v>46306</v>
      </c>
      <c r="C14" s="6">
        <f>CHOOSE(WEEKDAY(B14,2),"lunes","martes","miércoles","jueves","viernes","sábado","domingo")</f>
        <v/>
      </c>
      <c r="D14" s="6" t="n">
        <v>0</v>
      </c>
      <c r="E14" s="7" t="n"/>
      <c r="F14" s="7" t="n"/>
      <c r="G14" s="7" t="n"/>
      <c r="H14" s="7" t="n"/>
      <c r="I14" s="7" t="n"/>
    </row>
    <row r="15">
      <c r="B15" s="2" t="n">
        <v>46307</v>
      </c>
      <c r="C15" s="3">
        <f>CHOOSE(WEEKDAY(B15,2),"lunes","martes","miércoles","jueves","viernes","sábado","domingo")</f>
        <v/>
      </c>
      <c r="D15" s="3" t="n">
        <v>4</v>
      </c>
      <c r="E15" s="4" t="inlineStr">
        <is>
          <t>Requisitos funcionales (SRS v0.1)</t>
        </is>
      </c>
      <c r="F15" s="4" t="inlineStr">
        <is>
          <t>Requisitos de comunicación y notificaciones</t>
        </is>
      </c>
      <c r="G15" s="4" t="inlineStr">
        <is>
          <t>RF-28 a RF-37</t>
        </is>
      </c>
      <c r="H15" s="4" t="inlineStr">
        <is>
          <t>SRS v0.1 en 02_Documentos</t>
        </is>
      </c>
      <c r="I15" s="4" t="inlineStr">
        <is>
          <t>02_Documentos/</t>
        </is>
      </c>
    </row>
    <row r="16">
      <c r="B16" s="2" t="n">
        <v>46308</v>
      </c>
      <c r="C16" s="3">
        <f>CHOOSE(WEEKDAY(B16,2),"lunes","martes","miércoles","jueves","viernes","sábado","domingo")</f>
        <v/>
      </c>
      <c r="D16" s="3" t="n">
        <v>4</v>
      </c>
      <c r="E16" s="4" t="inlineStr">
        <is>
          <t>Requisitos no funcionales y criterios de aceptación</t>
        </is>
      </c>
      <c r="F16" s="4" t="inlineStr">
        <is>
          <t>Usabilidad, compatibilidad y trabajo sin conexión; criterios de aceptación</t>
        </is>
      </c>
      <c r="G16" s="4" t="inlineStr">
        <is>
          <t>RNF de uso y criterios de aceptación</t>
        </is>
      </c>
      <c r="H16" s="4" t="inlineStr">
        <is>
          <t>SRS v0.1 en 02_Documentos</t>
        </is>
      </c>
      <c r="I16" s="4" t="inlineStr">
        <is>
          <t>02_Documentos/</t>
        </is>
      </c>
    </row>
    <row r="17">
      <c r="B17" s="2" t="n">
        <v>46309</v>
      </c>
      <c r="C17" s="3">
        <f>CHOOSE(WEEKDAY(B17,2),"lunes","martes","miércoles","jueves","viernes","sábado","domingo")</f>
        <v/>
      </c>
      <c r="D17" s="3" t="n">
        <v>4</v>
      </c>
      <c r="E17" s="4" t="inlineStr">
        <is>
          <t>Validación del prototipo con el cliente</t>
        </is>
      </c>
      <c r="F17" s="4" t="inlineStr">
        <is>
          <t>Ajustes del prototipo según las observaciones (demo v2)</t>
        </is>
      </c>
      <c r="G17" s="4" t="inlineStr">
        <is>
          <t>Prototipo v2</t>
        </is>
      </c>
      <c r="H17" s="4" t="inlineStr">
        <is>
          <t>Capturas del prototipo v2 en el Drive</t>
        </is>
      </c>
      <c r="I17" s="4" t="inlineStr">
        <is>
          <t>Sprint_02/Christian/</t>
        </is>
      </c>
    </row>
    <row r="18">
      <c r="B18" s="2" t="n">
        <v>46310</v>
      </c>
      <c r="C18" s="3">
        <f>CHOOSE(WEEKDAY(B18,2),"lunes","martes","miércoles","jueves","viernes","sábado","domingo")</f>
        <v/>
      </c>
      <c r="D18" s="3" t="n">
        <v>4</v>
      </c>
      <c r="E18" s="4" t="inlineStr">
        <is>
          <t>Taller de vulnerabilidades y riesgos</t>
        </is>
      </c>
      <c r="F18" s="4" t="inlineStr">
        <is>
          <t>Política mínima de seguridad del proyecto</t>
        </is>
      </c>
      <c r="G18" s="4" t="inlineStr">
        <is>
          <t>Política de seguridad</t>
        </is>
      </c>
      <c r="H18" s="4" t="inlineStr">
        <is>
          <t>Taller en el Drive</t>
        </is>
      </c>
      <c r="I18" s="4" t="inlineStr">
        <is>
          <t>01_Modelos/Seguridad/</t>
        </is>
      </c>
    </row>
    <row r="19">
      <c r="B19" s="2" t="n">
        <v>46311</v>
      </c>
      <c r="C19" s="3">
        <f>CHOOSE(WEEKDAY(B19,2),"lunes","martes","miércoles","jueves","viernes","sábado","domingo")</f>
        <v/>
      </c>
      <c r="D19" s="3" t="n">
        <v>4</v>
      </c>
      <c r="E19" s="4" t="inlineStr">
        <is>
          <t>Objetivos, alcance y fuera de alcance</t>
        </is>
      </c>
      <c r="F19" s="4" t="inlineStr">
        <is>
          <t>Fuera de alcance e innovación (avisos por WhatsApp)</t>
        </is>
      </c>
      <c r="G19" s="4" t="inlineStr">
        <is>
          <t>Fuera de alcance e innovación</t>
        </is>
      </c>
      <c r="H19" s="4" t="inlineStr">
        <is>
          <t>Borrador del Entregable 2</t>
        </is>
      </c>
      <c r="I19" s="4" t="inlineStr">
        <is>
          <t>Sprint_02/Christian/</t>
        </is>
      </c>
    </row>
    <row r="20">
      <c r="B20" s="5" t="n">
        <v>46312</v>
      </c>
      <c r="C20" s="6">
        <f>CHOOSE(WEEKDAY(B20,2),"lunes","martes","miércoles","jueves","viernes","sábado","domingo")</f>
        <v/>
      </c>
      <c r="D20" s="6" t="n">
        <v>0</v>
      </c>
      <c r="E20" s="7" t="n"/>
      <c r="F20" s="7" t="n"/>
      <c r="G20" s="7" t="n"/>
      <c r="H20" s="7" t="n"/>
      <c r="I20" s="7" t="n"/>
    </row>
    <row r="21">
      <c r="B21" s="5" t="n">
        <v>46313</v>
      </c>
      <c r="C21" s="6">
        <f>CHOOSE(WEEKDAY(B21,2),"lunes","martes","miércoles","jueves","viernes","sábado","domingo")</f>
        <v/>
      </c>
      <c r="D21" s="6" t="n">
        <v>0</v>
      </c>
      <c r="E21" s="7" t="n"/>
      <c r="F21" s="7" t="n"/>
      <c r="G21" s="7" t="n"/>
      <c r="H21" s="7" t="n"/>
      <c r="I21" s="7" t="n"/>
    </row>
    <row r="22">
      <c r="B22" s="2" t="n">
        <v>46314</v>
      </c>
      <c r="C22" s="3">
        <f>CHOOSE(WEEKDAY(B22,2),"lunes","martes","miércoles","jueves","viernes","sábado","domingo")</f>
        <v/>
      </c>
      <c r="D22" s="3" t="n">
        <v>4</v>
      </c>
      <c r="E22" s="4" t="inlineStr">
        <is>
          <t>Stakeholders, usuarios y actores, y casos de uso</t>
        </is>
      </c>
      <c r="F22" s="4" t="inlineStr">
        <is>
          <t>Diagrama de casos de uso</t>
        </is>
      </c>
      <c r="G22" s="4" t="inlineStr">
        <is>
          <t>Diagrama de casos de uso</t>
        </is>
      </c>
      <c r="H22" s="4" t="inlineStr">
        <is>
          <t>Imagen en 01_Modelos/Casos_de_uso</t>
        </is>
      </c>
      <c r="I22" s="4" t="inlineStr">
        <is>
          <t>01_Modelos/Casos_de_uso/</t>
        </is>
      </c>
    </row>
    <row r="23">
      <c r="B23" s="8" t="n">
        <v>46315</v>
      </c>
      <c r="C23" s="9">
        <f>CHOOSE(WEEKDAY(B23,2),"lunes","martes","miércoles","jueves","viernes","sábado","domingo")</f>
        <v/>
      </c>
      <c r="D23" s="9" t="n">
        <v>4</v>
      </c>
      <c r="E23" s="10" t="inlineStr">
        <is>
          <t>Revisión y entrega del Entregable 2 (Procesos e involucrados) – cierre del sprint 2</t>
        </is>
      </c>
      <c r="F23" s="10" t="inlineStr">
        <is>
          <t>Formato final, figuras y exportación a PDF</t>
        </is>
      </c>
      <c r="G23" s="10" t="inlineStr">
        <is>
          <t>PDF final</t>
        </is>
      </c>
      <c r="H23" s="10" t="inlineStr">
        <is>
          <t>PDF del Entregable 2 en el Drive</t>
        </is>
      </c>
      <c r="I23" s="10" t="inlineStr">
        <is>
          <t>Sprint_02/Christian/</t>
        </is>
      </c>
    </row>
    <row r="24">
      <c r="B24" s="2" t="n">
        <v>46316</v>
      </c>
      <c r="C24" s="3">
        <f>CHOOSE(WEEKDAY(B24,2),"lunes","martes","miércoles","jueves","viernes","sábado","domingo")</f>
        <v/>
      </c>
      <c r="D24" s="3" t="n">
        <v>4</v>
      </c>
      <c r="E24" s="4" t="inlineStr">
        <is>
          <t>Configuración de GitHub y Product Backlog en GitHub Projects</t>
        </is>
      </c>
      <c r="F24" s="4" t="inlineStr">
        <is>
          <t>Product Backlog en GitHub Projects: 15 historias de usuario con requisitos, prioridad de Wiegers y sprint</t>
        </is>
      </c>
      <c r="G24" s="4" t="inlineStr">
        <is>
          <t>Product Backlog</t>
        </is>
      </c>
      <c r="H24" s="4" t="inlineStr">
        <is>
          <t>Captura del tablero de GitHub Projects</t>
        </is>
      </c>
      <c r="I24" s="4" t="inlineStr">
        <is>
          <t>Sprint_03/Christian/</t>
        </is>
      </c>
    </row>
    <row r="25">
      <c r="B25" s="2" t="n">
        <v>46317</v>
      </c>
      <c r="C25" s="3">
        <f>CHOOSE(WEEKDAY(B25,2),"lunes","martes","miércoles","jueves","viernes","sábado","domingo")</f>
        <v/>
      </c>
      <c r="D25" s="3" t="n">
        <v>4</v>
      </c>
      <c r="E25" s="4" t="inlineStr">
        <is>
          <t>Definición de tecnologías y entrega del Entregable 3</t>
        </is>
      </c>
      <c r="F25" s="4" t="inlineStr">
        <is>
          <t>Revisión final y entrega del Entregable 3 (metodología, RACI, cronograma, requisitos, Wiegers, riesgos, indicadores y prototipo)</t>
        </is>
      </c>
      <c r="G25" s="4" t="inlineStr">
        <is>
          <t>Entregable 3 entregado</t>
        </is>
      </c>
      <c r="H25" s="4" t="inlineStr">
        <is>
          <t>PDF del Entregable 3 en 00_Entregables y constancia de entrega</t>
        </is>
      </c>
      <c r="I25" s="4" t="inlineStr">
        <is>
          <t>00_Entregables/</t>
        </is>
      </c>
    </row>
    <row r="26">
      <c r="B26" s="2" t="n">
        <v>46318</v>
      </c>
      <c r="C26" s="3">
        <f>CHOOSE(WEEKDAY(B26,2),"lunes","martes","miércoles","jueves","viernes","sábado","domingo")</f>
        <v/>
      </c>
      <c r="D26" s="3" t="n">
        <v>4</v>
      </c>
      <c r="E26" s="4" t="inlineStr">
        <is>
          <t>Diseño de arquitectura, datos y amenazas</t>
        </is>
      </c>
      <c r="F26" s="4" t="inlineStr">
        <is>
          <t>Diagrama C4 (contexto y contenedores) y diseño del trabajo sin conexión: cola local de cambios y resolución de conflictos</t>
        </is>
      </c>
      <c r="G26" s="4" t="inlineStr">
        <is>
          <t>Arquitectura y diseño offline</t>
        </is>
      </c>
      <c r="H26" s="4" t="inlineStr">
        <is>
          <t>Diagramas en docs/arquitectura/ renderizados en GitHub</t>
        </is>
      </c>
      <c r="I26" s="4" t="inlineStr">
        <is>
          <t>01_Modelos/Arquitectura/</t>
        </is>
      </c>
    </row>
    <row r="27">
      <c r="B27" s="5" t="n">
        <v>46319</v>
      </c>
      <c r="C27" s="6">
        <f>CHOOSE(WEEKDAY(B27,2),"lunes","martes","miércoles","jueves","viernes","sábado","domingo")</f>
        <v/>
      </c>
      <c r="D27" s="6" t="n">
        <v>0</v>
      </c>
      <c r="E27" s="7" t="n"/>
      <c r="F27" s="7" t="n"/>
      <c r="G27" s="7" t="n"/>
      <c r="H27" s="7" t="n"/>
      <c r="I27" s="7" t="n"/>
    </row>
    <row r="28">
      <c r="B28" s="5" t="n">
        <v>46320</v>
      </c>
      <c r="C28" s="6">
        <f>CHOOSE(WEEKDAY(B28,2),"lunes","martes","miércoles","jueves","viernes","sábado","domingo")</f>
        <v/>
      </c>
      <c r="D28" s="6" t="n">
        <v>0</v>
      </c>
      <c r="E28" s="7" t="n"/>
      <c r="F28" s="7" t="n"/>
      <c r="G28" s="7" t="n"/>
      <c r="H28" s="7" t="n"/>
      <c r="I28" s="7" t="n"/>
    </row>
    <row r="29">
      <c r="B29" s="2" t="n">
        <v>46321</v>
      </c>
      <c r="C29" s="3">
        <f>CHOOSE(WEEKDAY(B29,2),"lunes","martes","miércoles","jueves","viernes","sábado","domingo")</f>
        <v/>
      </c>
      <c r="D29" s="3" t="n">
        <v>4</v>
      </c>
      <c r="E29" s="4" t="inlineStr">
        <is>
          <t>CI básico: secretos y compilación con avisos en Telegram</t>
        </is>
      </c>
      <c r="F29" s="4" t="inlineStr">
        <is>
          <t>Notificador de Telegram que crea un único mensaje y lo edita con el avance de cada etapa, sin datos sensibles y sin detener el pipeline si Telegram falla</t>
        </is>
      </c>
      <c r="G29" s="4" t="inlineStr">
        <is>
          <t>Notificador de Telegram v0</t>
        </is>
      </c>
      <c r="H29" s="4" t="inlineStr">
        <is>
          <t>Captura del mensaje de progreso editado en el chat de Telegram</t>
        </is>
      </c>
      <c r="I29" s="4" t="inlineStr">
        <is>
          <t>Sprint_03/Christian/</t>
        </is>
      </c>
    </row>
    <row r="30">
      <c r="B30" s="2" t="n">
        <v>46322</v>
      </c>
      <c r="C30" s="3">
        <f>CHOOSE(WEEKDAY(B30,2),"lunes","martes","miércoles","jueves","viernes","sábado","domingo")</f>
        <v/>
      </c>
      <c r="D30" s="3" t="n">
        <v>4</v>
      </c>
      <c r="E30" s="4" t="inlineStr">
        <is>
          <t>Esqueletos de la API y de la PWA</t>
        </is>
      </c>
      <c r="F30" s="4" t="inlineStr">
        <is>
          <t>Proyecto React + Vite + TypeScript en frontend/ con Tailwind y los colores del colegio, consultando /health</t>
        </is>
      </c>
      <c r="G30" s="4" t="inlineStr">
        <is>
          <t>PWA esqueleto</t>
        </is>
      </c>
      <c r="H30" s="4" t="inlineStr">
        <is>
          <t>Commit en dev y captura de la pantalla inicial conectada a la API</t>
        </is>
      </c>
      <c r="I30" s="4" t="inlineStr">
        <is>
          <t>Sprint_03/Christian/</t>
        </is>
      </c>
    </row>
    <row r="31">
      <c r="B31" s="2" t="n">
        <v>46323</v>
      </c>
      <c r="C31" s="3">
        <f>CHOOSE(WEEKDAY(B31,2),"lunes","martes","miércoles","jueves","viernes","sábado","domingo")</f>
        <v/>
      </c>
      <c r="D31" s="3" t="n">
        <v>4</v>
      </c>
      <c r="E31" s="4" t="inlineStr">
        <is>
          <t>Base de datos, etapa de pruebas y estructura de la PWA</t>
        </is>
      </c>
      <c r="F31" s="4" t="inlineStr">
        <is>
          <t>Estructura de la PWA: rutas por rol, barra lateral y diseño adaptable tomado del prototipo</t>
        </is>
      </c>
      <c r="G31" s="4" t="inlineStr">
        <is>
          <t>Layout de la PWA</t>
        </is>
      </c>
      <c r="H31" s="4" t="inlineStr">
        <is>
          <t>Capturas en computadora y en celular</t>
        </is>
      </c>
      <c r="I31" s="4" t="inlineStr">
        <is>
          <t>Sprint_03/Christian/</t>
        </is>
      </c>
    </row>
    <row r="32">
      <c r="B32" s="2" t="n">
        <v>46324</v>
      </c>
      <c r="C32" s="3">
        <f>CHOOSE(WEEKDAY(B32,2),"lunes","martes","miércoles","jueves","viernes","sábado","domingo")</f>
        <v/>
      </c>
      <c r="D32" s="3" t="n">
        <v>4</v>
      </c>
      <c r="E32" s="4" t="inlineStr">
        <is>
          <t>Análisis de dependencias, calidad de código y contenedores</t>
        </is>
      </c>
      <c r="F32" s="4" t="inlineStr">
        <is>
          <t>Dockerfile de la PWA servida con Nginx y cabeceras de seguridad (CSP, HSTS, X-Frame-Options)</t>
        </is>
      </c>
      <c r="G32" s="4" t="inlineStr">
        <is>
          <t>Dockerfile de la web</t>
        </is>
      </c>
      <c r="H32" s="4" t="inlineStr">
        <is>
          <t>Captura de las cabeceras de respuesta en el navegador</t>
        </is>
      </c>
      <c r="I32" s="4" t="inlineStr">
        <is>
          <t>Sprint_03/Christian/</t>
        </is>
      </c>
    </row>
    <row r="33">
      <c r="B33" s="8" t="n">
        <v>46325</v>
      </c>
      <c r="C33" s="9">
        <f>CHOOSE(WEEKDAY(B33,2),"lunes","martes","miércoles","jueves","viernes","sábado","domingo")</f>
        <v/>
      </c>
      <c r="D33" s="9" t="n">
        <v>4</v>
      </c>
      <c r="E33" s="10" t="inlineStr">
        <is>
          <t>Integración, demostración e informe del sprint 3</t>
        </is>
      </c>
      <c r="F33" s="10" t="inlineStr">
        <is>
          <t>Informe y demostración del sprint 3: repositorio, ramas protegidas, backlog y CI con aviso en Telegram</t>
        </is>
      </c>
      <c r="G33" s="10" t="inlineStr">
        <is>
          <t>Informe del sprint 3</t>
        </is>
      </c>
      <c r="H33" s="10" t="inlineStr">
        <is>
          <t>docs/sprints/sprint3.md y capturas de la demostración</t>
        </is>
      </c>
      <c r="I33" s="10" t="inlineStr">
        <is>
          <t>Sprint_03/Christian/</t>
        </is>
      </c>
    </row>
    <row r="34">
      <c r="B34" s="5" t="n">
        <v>46326</v>
      </c>
      <c r="C34" s="6">
        <f>CHOOSE(WEEKDAY(B34,2),"lunes","martes","miércoles","jueves","viernes","sábado","domingo")</f>
        <v/>
      </c>
      <c r="D34" s="6" t="n">
        <v>0</v>
      </c>
      <c r="E34" s="7" t="n"/>
      <c r="F34" s="7" t="n"/>
      <c r="G34" s="7" t="n"/>
      <c r="H34" s="7" t="n"/>
      <c r="I34" s="7" t="n"/>
    </row>
    <row r="35">
      <c r="B35" s="5" t="n">
        <v>46327</v>
      </c>
      <c r="C35" s="6">
        <f>CHOOSE(WEEKDAY(B35,2),"lunes","martes","miércoles","jueves","viernes","sábado","domingo")</f>
        <v/>
      </c>
      <c r="D35" s="6" t="n">
        <v>0</v>
      </c>
      <c r="E35" s="7" t="n"/>
      <c r="F35" s="7" t="n"/>
      <c r="G35" s="7" t="n"/>
      <c r="H35" s="7" t="n"/>
      <c r="I35" s="7" t="n"/>
    </row>
    <row r="36">
      <c r="B36" s="5" t="n">
        <v>46328</v>
      </c>
      <c r="C36" s="6">
        <f>CHOOSE(WEEKDAY(B36,2),"lunes","martes","miércoles","jueves","viernes","sábado","domingo")</f>
        <v/>
      </c>
      <c r="D36" s="6" t="n">
        <v>0</v>
      </c>
      <c r="E36" s="7" t="inlineStr">
        <is>
          <t>Feriado: Día de los Difuntos</t>
        </is>
      </c>
      <c r="F36" s="7" t="n"/>
      <c r="G36" s="7" t="n"/>
      <c r="H36" s="7" t="n"/>
      <c r="I36" s="7" t="n"/>
    </row>
    <row r="37">
      <c r="B37" s="5" t="n">
        <v>46329</v>
      </c>
      <c r="C37" s="6">
        <f>CHOOSE(WEEKDAY(B37,2),"lunes","martes","miércoles","jueves","viernes","sábado","domingo")</f>
        <v/>
      </c>
      <c r="D37" s="6" t="n">
        <v>0</v>
      </c>
      <c r="E37" s="7" t="inlineStr">
        <is>
          <t>Feriado: Independencia de Cuenca</t>
        </is>
      </c>
      <c r="F37" s="7" t="n"/>
      <c r="G37" s="7" t="n"/>
      <c r="H37" s="7" t="n"/>
      <c r="I37" s="7" t="n"/>
    </row>
    <row r="38">
      <c r="B38" s="2" t="n">
        <v>46330</v>
      </c>
      <c r="C38" s="3">
        <f>CHOOSE(WEEKDAY(B38,2),"lunes","martes","miércoles","jueves","viernes","sábado","domingo")</f>
        <v/>
      </c>
      <c r="D38" s="3" t="n">
        <v>4</v>
      </c>
      <c r="E38" s="4" t="inlineStr">
        <is>
          <t>Construcción y escaneo de imágenes en el CI</t>
        </is>
      </c>
      <c r="F38" s="4" t="inlineStr">
        <is>
          <t>Notificador de Telegram v1: todas las etapas en un único mensaje editado, duración y enlace a la ejecución</t>
        </is>
      </c>
      <c r="G38" s="4" t="inlineStr">
        <is>
          <t>Notificador de Telegram v1</t>
        </is>
      </c>
      <c r="H38" s="4" t="inlineStr">
        <is>
          <t>Captura del mensaje final de una ejecución completa</t>
        </is>
      </c>
      <c r="I38" s="4" t="inlineStr">
        <is>
          <t>Sprint_04/Christian/</t>
        </is>
      </c>
    </row>
    <row r="39">
      <c r="B39" s="2" t="n">
        <v>46331</v>
      </c>
      <c r="C39" s="3">
        <f>CHOOSE(WEEKDAY(B39,2),"lunes","martes","miércoles","jueves","viernes","sábado","domingo")</f>
        <v/>
      </c>
      <c r="D39" s="3" t="n">
        <v>4</v>
      </c>
      <c r="E39" s="4" t="inlineStr">
        <is>
          <t>Autenticación y roles (RF-01, RF-03)</t>
        </is>
      </c>
      <c r="F39" s="4" t="inlineStr">
        <is>
          <t>Pantalla de inicio de sesión y cambio obligatorio de clave en el primer ingreso</t>
        </is>
      </c>
      <c r="G39" s="4" t="inlineStr">
        <is>
          <t>Pantallas de acceso</t>
        </is>
      </c>
      <c r="H39" s="4" t="inlineStr">
        <is>
          <t>Capturas del flujo de primer ingreso</t>
        </is>
      </c>
      <c r="I39" s="4" t="inlineStr">
        <is>
          <t>Sprint_04/Christian/</t>
        </is>
      </c>
    </row>
    <row r="40">
      <c r="B40" s="2" t="n">
        <v>46332</v>
      </c>
      <c r="C40" s="3">
        <f>CHOOSE(WEEKDAY(B40,2),"lunes","martes","miércoles","jueves","viernes","sábado","domingo")</f>
        <v/>
      </c>
      <c r="D40" s="3" t="n">
        <v>4</v>
      </c>
      <c r="E40" s="4" t="inlineStr">
        <is>
          <t>Generación de usuarios, sesión y auditoría (RF-02)</t>
        </is>
      </c>
      <c r="F40" s="4" t="inlineStr">
        <is>
          <t>Manejo de sesión en la PWA (token, expiración, cierre) y menú por rol</t>
        </is>
      </c>
      <c r="G40" s="4" t="inlineStr">
        <is>
          <t>Sesión y menú por rol</t>
        </is>
      </c>
      <c r="H40" s="4" t="inlineStr">
        <is>
          <t>Capturas del menú de cada rol</t>
        </is>
      </c>
      <c r="I40" s="4" t="inlineStr">
        <is>
          <t>Sprint_04/Christian/</t>
        </is>
      </c>
    </row>
    <row r="41">
      <c r="B41" s="5" t="n">
        <v>46333</v>
      </c>
      <c r="C41" s="6">
        <f>CHOOSE(WEEKDAY(B41,2),"lunes","martes","miércoles","jueves","viernes","sábado","domingo")</f>
        <v/>
      </c>
      <c r="D41" s="6" t="n">
        <v>0</v>
      </c>
      <c r="E41" s="7" t="n"/>
      <c r="F41" s="7" t="n"/>
      <c r="G41" s="7" t="n"/>
      <c r="H41" s="7" t="n"/>
      <c r="I41" s="7" t="n"/>
    </row>
    <row r="42">
      <c r="B42" s="5" t="n">
        <v>46334</v>
      </c>
      <c r="C42" s="6">
        <f>CHOOSE(WEEKDAY(B42,2),"lunes","martes","miércoles","jueves","viernes","sábado","domingo")</f>
        <v/>
      </c>
      <c r="D42" s="6" t="n">
        <v>0</v>
      </c>
      <c r="E42" s="7" t="n"/>
      <c r="F42" s="7" t="n"/>
      <c r="G42" s="7" t="n"/>
      <c r="H42" s="7" t="n"/>
      <c r="I42" s="7" t="n"/>
    </row>
    <row r="43">
      <c r="B43" s="2" t="n">
        <v>46335</v>
      </c>
      <c r="C43" s="3">
        <f>CHOOSE(WEEKDAY(B43,2),"lunes","martes","miércoles","jueves","viernes","sábado","domingo")</f>
        <v/>
      </c>
      <c r="D43" s="3" t="n">
        <v>4</v>
      </c>
      <c r="E43" s="4" t="inlineStr">
        <is>
          <t>Año lectivo, cursos, paralelos y materias (RF-06, RF-07)</t>
        </is>
      </c>
      <c r="F43" s="4" t="inlineStr">
        <is>
          <t>Pruebas de validación de entradas (datos inválidos, campos extra, inyección) sobre los nuevos endpoints</t>
        </is>
      </c>
      <c r="G43" s="4" t="inlineStr">
        <is>
          <t>Pruebas de validación</t>
        </is>
      </c>
      <c r="H43" s="4" t="inlineStr">
        <is>
          <t>Reporte de Jest con los casos negativos</t>
        </is>
      </c>
      <c r="I43" s="4" t="inlineStr">
        <is>
          <t>Sprint_04/Christian/</t>
        </is>
      </c>
    </row>
    <row r="44">
      <c r="B44" s="2" t="n">
        <v>46336</v>
      </c>
      <c r="C44" s="3">
        <f>CHOOSE(WEEKDAY(B44,2),"lunes","martes","miércoles","jueves","viernes","sábado","domingo")</f>
        <v/>
      </c>
      <c r="D44" s="3" t="n">
        <v>4</v>
      </c>
      <c r="E44" s="4" t="inlineStr">
        <is>
          <t>Gestión de docentes y asignación de materias (RF-05)</t>
        </is>
      </c>
      <c r="F44" s="4" t="inlineStr">
        <is>
          <t>Prueba e2e: el administrador crea un docente y le asigna materias</t>
        </is>
      </c>
      <c r="G44" s="4" t="inlineStr">
        <is>
          <t>Prueba e2e de docentes</t>
        </is>
      </c>
      <c r="H44" s="4" t="inlineStr">
        <is>
          <t>Reporte de Playwright en el CI</t>
        </is>
      </c>
      <c r="I44" s="4" t="inlineStr">
        <is>
          <t>Sprint_04/Christian/</t>
        </is>
      </c>
    </row>
    <row r="45">
      <c r="B45" s="2" t="n">
        <v>46337</v>
      </c>
      <c r="C45" s="3">
        <f>CHOOSE(WEEKDAY(B45,2),"lunes","martes","miércoles","jueves","viernes","sábado","domingo")</f>
        <v/>
      </c>
      <c r="D45" s="3" t="n">
        <v>4</v>
      </c>
      <c r="E45" s="4" t="inlineStr">
        <is>
          <t>Matrícula individual y representantes (RF-04, RF-29)</t>
        </is>
      </c>
      <c r="F45" s="4" t="inlineStr">
        <is>
          <t>Pantalla de matrícula de la Secretaría</t>
        </is>
      </c>
      <c r="G45" s="4" t="inlineStr">
        <is>
          <t>Pantalla de matrícula</t>
        </is>
      </c>
      <c r="H45" s="4" t="inlineStr">
        <is>
          <t>Capturas de una matrícula completa</t>
        </is>
      </c>
      <c r="I45" s="4" t="inlineStr">
        <is>
          <t>Sprint_04/Christian/</t>
        </is>
      </c>
    </row>
    <row r="46">
      <c r="B46" s="2" t="n">
        <v>46338</v>
      </c>
      <c r="C46" s="3">
        <f>CHOOSE(WEEKDAY(B46,2),"lunes","martes","miércoles","jueves","viernes","sábado","domingo")</f>
        <v/>
      </c>
      <c r="D46" s="3" t="n">
        <v>4</v>
      </c>
      <c r="E46" s="4" t="inlineStr">
        <is>
          <t>Importación de nóminas desde Excel (RF-04)</t>
        </is>
      </c>
      <c r="F46" s="4" t="inlineStr">
        <is>
          <t>Interfaz de carga con vista previa y errores por fila</t>
        </is>
      </c>
      <c r="G46" s="4" t="inlineStr">
        <is>
          <t>Pantalla de importación</t>
        </is>
      </c>
      <c r="H46" s="4" t="inlineStr">
        <is>
          <t>Capturas de la vista previa y de los errores</t>
        </is>
      </c>
      <c r="I46" s="4" t="inlineStr">
        <is>
          <t>Sprint_04/Christian/</t>
        </is>
      </c>
    </row>
    <row r="47">
      <c r="B47" s="8" t="n">
        <v>46339</v>
      </c>
      <c r="C47" s="9">
        <f>CHOOSE(WEEKDAY(B47,2),"lunes","martes","miércoles","jueves","viernes","sábado","domingo")</f>
        <v/>
      </c>
      <c r="D47" s="9" t="n">
        <v>4</v>
      </c>
      <c r="E47" s="10" t="inlineStr">
        <is>
          <t>Integración, demostración e informe del sprint 4</t>
        </is>
      </c>
      <c r="F47" s="10" t="inlineStr">
        <is>
          <t>Informe del sprint 4 y tablero actualizado</t>
        </is>
      </c>
      <c r="G47" s="10" t="inlineStr">
        <is>
          <t>Informe del sprint 4</t>
        </is>
      </c>
      <c r="H47" s="10" t="inlineStr">
        <is>
          <t>docs/sprints/sprint4.md en el repositorio</t>
        </is>
      </c>
      <c r="I47" s="10" t="inlineStr">
        <is>
          <t>Sprint_04/Christian/</t>
        </is>
      </c>
    </row>
    <row r="48">
      <c r="B48" s="5" t="n">
        <v>46340</v>
      </c>
      <c r="C48" s="6">
        <f>CHOOSE(WEEKDAY(B48,2),"lunes","martes","miércoles","jueves","viernes","sábado","domingo")</f>
        <v/>
      </c>
      <c r="D48" s="6" t="n">
        <v>0</v>
      </c>
      <c r="E48" s="7" t="n"/>
      <c r="F48" s="7" t="n"/>
      <c r="G48" s="7" t="n"/>
      <c r="H48" s="7" t="n"/>
      <c r="I48" s="7" t="n"/>
    </row>
    <row r="49">
      <c r="B49" s="5" t="n">
        <v>46341</v>
      </c>
      <c r="C49" s="6">
        <f>CHOOSE(WEEKDAY(B49,2),"lunes","martes","miércoles","jueves","viernes","sábado","domingo")</f>
        <v/>
      </c>
      <c r="D49" s="6" t="n">
        <v>0</v>
      </c>
      <c r="E49" s="7" t="n"/>
      <c r="F49" s="7" t="n"/>
      <c r="G49" s="7" t="n"/>
      <c r="H49" s="7" t="n"/>
      <c r="I49" s="7" t="n"/>
    </row>
    <row r="50">
      <c r="B50" s="2" t="n">
        <v>46342</v>
      </c>
      <c r="C50" s="3">
        <f>CHOOSE(WEEKDAY(B50,2),"lunes","martes","miércoles","jueves","viernes","sábado","domingo")</f>
        <v/>
      </c>
      <c r="D50" s="3" t="n">
        <v>4</v>
      </c>
      <c r="E50" s="4" t="inlineStr">
        <is>
          <t>Datos de prueba, ambiente de pruebas y pruebas e2e</t>
        </is>
      </c>
      <c r="F50" s="4" t="inlineStr">
        <is>
          <t>Prueba end-to-end del inicio de sesión con Playwright dentro del CI</t>
        </is>
      </c>
      <c r="G50" s="4" t="inlineStr">
        <is>
          <t>Prueba e2e de login</t>
        </is>
      </c>
      <c r="H50" s="4" t="inlineStr">
        <is>
          <t>Reporte de Playwright en el CI</t>
        </is>
      </c>
      <c r="I50" s="4" t="inlineStr">
        <is>
          <t>Sprint_05/Christian/</t>
        </is>
      </c>
    </row>
    <row r="51">
      <c r="B51" s="2" t="n">
        <v>46343</v>
      </c>
      <c r="C51" s="3">
        <f>CHOOSE(WEEKDAY(B51,2),"lunes","martes","miércoles","jueves","viernes","sábado","domingo")</f>
        <v/>
      </c>
      <c r="D51" s="3" t="n">
        <v>4</v>
      </c>
      <c r="E51" s="4" t="inlineStr">
        <is>
          <t>Paquete compartido del cálculo de notas</t>
        </is>
      </c>
      <c r="F51" s="4" t="inlineStr">
        <is>
          <t>Uso del paquete en la PWA para mostrar el cálculo inmediato al ingresar una nota (RNF-06)</t>
        </is>
      </c>
      <c r="G51" s="4" t="inlineStr">
        <is>
          <t>Cálculo en la interfaz</t>
        </is>
      </c>
      <c r="H51" s="4" t="inlineStr">
        <is>
          <t>Captura del cálculo actualizado al ingresar una nota</t>
        </is>
      </c>
      <c r="I51" s="4" t="inlineStr">
        <is>
          <t>Sprint_05/Christian/</t>
        </is>
      </c>
    </row>
    <row r="52">
      <c r="B52" s="2" t="n">
        <v>46344</v>
      </c>
      <c r="C52" s="3">
        <f>CHOOSE(WEEKDAY(B52,2),"lunes","martes","miércoles","jueves","viernes","sábado","domingo")</f>
        <v/>
      </c>
      <c r="D52" s="3" t="n">
        <v>4</v>
      </c>
      <c r="E52" s="4" t="inlineStr">
        <is>
          <t>Registro de aportes y cálculo de notas (RF-17, RF-18)</t>
        </is>
      </c>
      <c r="F52" s="4" t="inlineStr">
        <is>
          <t>Libreta de calificaciones en la PWA con cálculo inmediato</t>
        </is>
      </c>
      <c r="G52" s="4" t="inlineStr">
        <is>
          <t>Libreta de calificaciones</t>
        </is>
      </c>
      <c r="H52" s="4" t="inlineStr">
        <is>
          <t>Capturas de la libreta</t>
        </is>
      </c>
      <c r="I52" s="4" t="inlineStr">
        <is>
          <t>Sprint_05/Christian/</t>
        </is>
      </c>
    </row>
    <row r="53">
      <c r="B53" s="2" t="n">
        <v>46345</v>
      </c>
      <c r="C53" s="3">
        <f>CHOOSE(WEEKDAY(B53,2),"lunes","martes","miércoles","jueves","viernes","sábado","domingo")</f>
        <v/>
      </c>
      <c r="D53" s="3" t="n">
        <v>4</v>
      </c>
      <c r="E53" s="4" t="inlineStr">
        <is>
          <t>Tareas, pruebas y proyectos (RF-19)</t>
        </is>
      </c>
      <c r="F53" s="4" t="inlineStr">
        <is>
          <t>Prueba e2e: la tarea creada aparece en el calendario del estudiante</t>
        </is>
      </c>
      <c r="G53" s="4" t="inlineStr">
        <is>
          <t>Prueba e2e de tareas</t>
        </is>
      </c>
      <c r="H53" s="4" t="inlineStr">
        <is>
          <t>Reporte de Playwright</t>
        </is>
      </c>
      <c r="I53" s="4" t="inlineStr">
        <is>
          <t>Sprint_05/Christian/</t>
        </is>
      </c>
    </row>
    <row r="54">
      <c r="B54" s="2" t="n">
        <v>46346</v>
      </c>
      <c r="C54" s="3">
        <f>CHOOSE(WEEKDAY(B54,2),"lunes","martes","miércoles","jueves","viernes","sábado","domingo")</f>
        <v/>
      </c>
      <c r="D54" s="3" t="n">
        <v>4</v>
      </c>
      <c r="E54" s="4" t="inlineStr">
        <is>
          <t>Nota y retroalimentación de tareas (RF-20)</t>
        </is>
      </c>
      <c r="F54" s="4" t="inlineStr">
        <is>
          <t>API de calificación de tareas con retroalimentación</t>
        </is>
      </c>
      <c r="G54" s="4" t="inlineStr">
        <is>
          <t>Endpoints de entregas</t>
        </is>
      </c>
      <c r="H54" s="4" t="inlineStr">
        <is>
          <t>Pruebas Jest</t>
        </is>
      </c>
      <c r="I54" s="4" t="inlineStr">
        <is>
          <t>Sprint_05/Christian/</t>
        </is>
      </c>
    </row>
    <row r="55">
      <c r="B55" s="5" t="n">
        <v>46347</v>
      </c>
      <c r="C55" s="6">
        <f>CHOOSE(WEEKDAY(B55,2),"lunes","martes","miércoles","jueves","viernes","sábado","domingo")</f>
        <v/>
      </c>
      <c r="D55" s="6" t="n">
        <v>0</v>
      </c>
      <c r="E55" s="7" t="n"/>
      <c r="F55" s="7" t="n"/>
      <c r="G55" s="7" t="n"/>
      <c r="H55" s="7" t="n"/>
      <c r="I55" s="7" t="n"/>
    </row>
    <row r="56">
      <c r="B56" s="5" t="n">
        <v>46348</v>
      </c>
      <c r="C56" s="6">
        <f>CHOOSE(WEEKDAY(B56,2),"lunes","martes","miércoles","jueves","viernes","sábado","domingo")</f>
        <v/>
      </c>
      <c r="D56" s="6" t="n">
        <v>0</v>
      </c>
      <c r="E56" s="7" t="n"/>
      <c r="F56" s="7" t="n"/>
      <c r="G56" s="7" t="n"/>
      <c r="H56" s="7" t="n"/>
      <c r="I56" s="7" t="n"/>
    </row>
    <row r="57">
      <c r="B57" s="2" t="n">
        <v>46349</v>
      </c>
      <c r="C57" s="3">
        <f>CHOOSE(WEEKDAY(B57,2),"lunes","martes","miércoles","jueves","viernes","sábado","domingo")</f>
        <v/>
      </c>
      <c r="D57" s="3" t="n">
        <v>4</v>
      </c>
      <c r="E57" s="4" t="inlineStr">
        <is>
          <t>Asistencia por materia (RF-21)</t>
        </is>
      </c>
      <c r="F57" s="4" t="inlineStr">
        <is>
          <t>Toma de asistencia rápida en la PWA (máximo tres pasos, RNF-03)</t>
        </is>
      </c>
      <c r="G57" s="4" t="inlineStr">
        <is>
          <t>Pantalla de asistencia</t>
        </is>
      </c>
      <c r="H57" s="4" t="inlineStr">
        <is>
          <t>Capturas en celular</t>
        </is>
      </c>
      <c r="I57" s="4" t="inlineStr">
        <is>
          <t>Sprint_05/Christian/</t>
        </is>
      </c>
    </row>
    <row r="58">
      <c r="B58" s="2" t="n">
        <v>46350</v>
      </c>
      <c r="C58" s="3">
        <f>CHOOSE(WEEKDAY(B58,2),"lunes","martes","miércoles","jueves","viernes","sábado","domingo")</f>
        <v/>
      </c>
      <c r="D58" s="3" t="n">
        <v>4</v>
      </c>
      <c r="E58" s="4" t="inlineStr">
        <is>
          <t>Registro de comportamiento (RF-22)</t>
        </is>
      </c>
      <c r="F58" s="4" t="inlineStr">
        <is>
          <t>Pantalla de comportamiento con colores por categoría</t>
        </is>
      </c>
      <c r="G58" s="4" t="inlineStr">
        <is>
          <t>Pantalla de comportamiento</t>
        </is>
      </c>
      <c r="H58" s="4" t="inlineStr">
        <is>
          <t>Capturas</t>
        </is>
      </c>
      <c r="I58" s="4" t="inlineStr">
        <is>
          <t>Sprint_05/Christian/</t>
        </is>
      </c>
    </row>
    <row r="59">
      <c r="B59" s="2" t="n">
        <v>46351</v>
      </c>
      <c r="C59" s="3">
        <f>CHOOSE(WEEKDAY(B59,2),"lunes","martes","miércoles","jueves","viernes","sábado","domingo")</f>
        <v/>
      </c>
      <c r="D59" s="3" t="n">
        <v>4</v>
      </c>
      <c r="E59" s="4" t="inlineStr">
        <is>
          <t>Parámetros del colegio configurables (RNF-10)</t>
        </is>
      </c>
      <c r="F59" s="4" t="inlineStr">
        <is>
          <t>Pruebas: al cambiar una ponderación se recalculan las notas</t>
        </is>
      </c>
      <c r="G59" s="4" t="inlineStr">
        <is>
          <t>Pruebas de parámetros</t>
        </is>
      </c>
      <c r="H59" s="4" t="inlineStr">
        <is>
          <t>Reporte de pruebas</t>
        </is>
      </c>
      <c r="I59" s="4" t="inlineStr">
        <is>
          <t>Sprint_05/Christian/</t>
        </is>
      </c>
    </row>
    <row r="60">
      <c r="B60" s="2" t="n">
        <v>46352</v>
      </c>
      <c r="C60" s="3">
        <f>CHOOSE(WEEKDAY(B60,2),"lunes","martes","miércoles","jueves","viernes","sábado","domingo")</f>
        <v/>
      </c>
      <c r="D60" s="3" t="n">
        <v>4</v>
      </c>
      <c r="E60" s="4" t="inlineStr">
        <is>
          <t>Trazabilidad de cambios en notas (RNF-09)</t>
        </is>
      </c>
      <c r="F60" s="4" t="inlineStr">
        <is>
          <t>Vista del historial de cambios de una nota</t>
        </is>
      </c>
      <c r="G60" s="4" t="inlineStr">
        <is>
          <t>Historial de notas</t>
        </is>
      </c>
      <c r="H60" s="4" t="inlineStr">
        <is>
          <t>Captura del historial</t>
        </is>
      </c>
      <c r="I60" s="4" t="inlineStr">
        <is>
          <t>Sprint_05/Christian/</t>
        </is>
      </c>
    </row>
    <row r="61">
      <c r="B61" s="8" t="n">
        <v>46353</v>
      </c>
      <c r="C61" s="9">
        <f>CHOOSE(WEEKDAY(B61,2),"lunes","martes","miércoles","jueves","viernes","sábado","domingo")</f>
        <v/>
      </c>
      <c r="D61" s="9" t="n">
        <v>4</v>
      </c>
      <c r="E61" s="10" t="inlineStr">
        <is>
          <t>Integración, demostración e informe del sprint 5</t>
        </is>
      </c>
      <c r="F61" s="10" t="inlineStr">
        <is>
          <t>Demostración de notas, tareas, asistencia y comportamiento</t>
        </is>
      </c>
      <c r="G61" s="10" t="inlineStr">
        <is>
          <t>Módulo de calificaciones</t>
        </is>
      </c>
      <c r="H61" s="10" t="inlineStr">
        <is>
          <t>Grabación o capturas de la demostración</t>
        </is>
      </c>
      <c r="I61" s="10" t="inlineStr">
        <is>
          <t>Sprint_05/Christian/</t>
        </is>
      </c>
    </row>
    <row r="62">
      <c r="B62" s="5" t="n">
        <v>46354</v>
      </c>
      <c r="C62" s="6">
        <f>CHOOSE(WEEKDAY(B62,2),"lunes","martes","miércoles","jueves","viernes","sábado","domingo")</f>
        <v/>
      </c>
      <c r="D62" s="6" t="n">
        <v>0</v>
      </c>
      <c r="E62" s="7" t="n"/>
      <c r="F62" s="7" t="n"/>
      <c r="G62" s="7" t="n"/>
      <c r="H62" s="7" t="n"/>
      <c r="I62" s="7" t="n"/>
    </row>
    <row r="63">
      <c r="B63" s="5" t="n">
        <v>46355</v>
      </c>
      <c r="C63" s="6">
        <f>CHOOSE(WEEKDAY(B63,2),"lunes","martes","miércoles","jueves","viernes","sábado","domingo")</f>
        <v/>
      </c>
      <c r="D63" s="6" t="n">
        <v>0</v>
      </c>
      <c r="E63" s="7" t="n"/>
      <c r="F63" s="7" t="n"/>
      <c r="G63" s="7" t="n"/>
      <c r="H63" s="7" t="n"/>
      <c r="I63" s="7" t="n"/>
    </row>
    <row r="64">
      <c r="B64" s="2" t="n">
        <v>46356</v>
      </c>
      <c r="C64" s="3">
        <f>CHOOSE(WEEKDAY(B64,2),"lunes","martes","miércoles","jueves","viernes","sábado","domingo")</f>
        <v/>
      </c>
      <c r="D64" s="3" t="n">
        <v>4</v>
      </c>
      <c r="E64" s="4" t="inlineStr">
        <is>
          <t>Hoja de estándares DA/AA/PA/NA (RF-23)</t>
        </is>
      </c>
      <c r="F64" s="4" t="inlineStr">
        <is>
          <t>Pruebas de acceso: el docente solo ve sus cursos</t>
        </is>
      </c>
      <c r="G64" s="4" t="inlineStr">
        <is>
          <t>Pruebas de acceso a reportes</t>
        </is>
      </c>
      <c r="H64" s="4" t="inlineStr">
        <is>
          <t>Reporte de pruebas 403</t>
        </is>
      </c>
      <c r="I64" s="4" t="inlineStr">
        <is>
          <t>Sprint_06/Christian/</t>
        </is>
      </c>
    </row>
    <row r="65">
      <c r="B65" s="2" t="n">
        <v>46357</v>
      </c>
      <c r="C65" s="3">
        <f>CHOOSE(WEEKDAY(B65,2),"lunes","martes","miércoles","jueves","viernes","sábado","domingo")</f>
        <v/>
      </c>
      <c r="D65" s="3" t="n">
        <v>4</v>
      </c>
      <c r="E65" s="4" t="inlineStr">
        <is>
          <t>Valoración de logros (RF-24)</t>
        </is>
      </c>
      <c r="F65" s="4" t="inlineStr">
        <is>
          <t>Pruebas contra la hoja oficial de valoración de logros</t>
        </is>
      </c>
      <c r="G65" s="4" t="inlineStr">
        <is>
          <t>Pruebas de valoración de logros</t>
        </is>
      </c>
      <c r="H65" s="4" t="inlineStr">
        <is>
          <t>Reporte con coincidencia total</t>
        </is>
      </c>
      <c r="I65" s="4" t="inlineStr">
        <is>
          <t>Sprint_06/Christian/</t>
        </is>
      </c>
    </row>
    <row r="66">
      <c r="B66" s="2" t="n">
        <v>46358</v>
      </c>
      <c r="C66" s="3">
        <f>CHOOSE(WEEKDAY(B66,2),"lunes","martes","miércoles","jueves","viernes","sábado","domingo")</f>
        <v/>
      </c>
      <c r="D66" s="3" t="n">
        <v>4</v>
      </c>
      <c r="E66" s="4" t="inlineStr">
        <is>
          <t>Tablero consolidado del Administrador (RF-25)</t>
        </is>
      </c>
      <c r="F66" s="4" t="inlineStr">
        <is>
          <t>Tablero con gráficos del rendimiento institucional</t>
        </is>
      </c>
      <c r="G66" s="4" t="inlineStr">
        <is>
          <t>Tablero del Administrador</t>
        </is>
      </c>
      <c r="H66" s="4" t="inlineStr">
        <is>
          <t>Capturas del tablero</t>
        </is>
      </c>
      <c r="I66" s="4" t="inlineStr">
        <is>
          <t>Sprint_06/Christian/</t>
        </is>
      </c>
    </row>
    <row r="67">
      <c r="B67" s="2" t="n">
        <v>46359</v>
      </c>
      <c r="C67" s="3">
        <f>CHOOSE(WEEKDAY(B67,2),"lunes","martes","miércoles","jueves","viernes","sábado","domingo")</f>
        <v/>
      </c>
      <c r="D67" s="3" t="n">
        <v>4</v>
      </c>
      <c r="E67" s="4" t="inlineStr">
        <is>
          <t>Importación y exportación de notas en Excel (RF-26, RF-27)</t>
        </is>
      </c>
      <c r="F67" s="4" t="inlineStr">
        <is>
          <t>Importador de calificaciones en la API</t>
        </is>
      </c>
      <c r="G67" s="4" t="inlineStr">
        <is>
          <t>Importador de calificaciones</t>
        </is>
      </c>
      <c r="H67" s="4" t="inlineStr">
        <is>
          <t>Prueba con archivo ficticio</t>
        </is>
      </c>
      <c r="I67" s="4" t="inlineStr">
        <is>
          <t>Sprint_06/Christian/</t>
        </is>
      </c>
    </row>
    <row r="68">
      <c r="B68" s="2" t="n">
        <v>46360</v>
      </c>
      <c r="C68" s="3">
        <f>CHOOSE(WEEKDAY(B68,2),"lunes","martes","miércoles","jueves","viernes","sábado","domingo")</f>
        <v/>
      </c>
      <c r="D68" s="3" t="n">
        <v>4</v>
      </c>
      <c r="E68" s="4" t="inlineStr">
        <is>
          <t>Tablero, horario y calendario del estudiante (RF-28, RF-37)</t>
        </is>
      </c>
      <c r="F68" s="4" t="inlineStr">
        <is>
          <t>Pantalla de horario semanal adaptable al celular</t>
        </is>
      </c>
      <c r="G68" s="4" t="inlineStr">
        <is>
          <t>Pantalla de horario</t>
        </is>
      </c>
      <c r="H68" s="4" t="inlineStr">
        <is>
          <t>Capturas en celular</t>
        </is>
      </c>
      <c r="I68" s="4" t="inlineStr">
        <is>
          <t>Sprint_06/Christian/</t>
        </is>
      </c>
    </row>
    <row r="69">
      <c r="B69" s="5" t="n">
        <v>46361</v>
      </c>
      <c r="C69" s="6">
        <f>CHOOSE(WEEKDAY(B69,2),"lunes","martes","miércoles","jueves","viernes","sábado","domingo")</f>
        <v/>
      </c>
      <c r="D69" s="6" t="n">
        <v>0</v>
      </c>
      <c r="E69" s="7" t="n"/>
      <c r="F69" s="7" t="n"/>
      <c r="G69" s="7" t="n"/>
      <c r="H69" s="7" t="n"/>
      <c r="I69" s="7" t="n"/>
    </row>
    <row r="70">
      <c r="B70" s="5" t="n">
        <v>46362</v>
      </c>
      <c r="C70" s="6">
        <f>CHOOSE(WEEKDAY(B70,2),"lunes","martes","miércoles","jueves","viernes","sábado","domingo")</f>
        <v/>
      </c>
      <c r="D70" s="6" t="n">
        <v>0</v>
      </c>
      <c r="E70" s="7" t="n"/>
      <c r="F70" s="7" t="n"/>
      <c r="G70" s="7" t="n"/>
      <c r="H70" s="7" t="n"/>
      <c r="I70" s="7" t="n"/>
    </row>
    <row r="71">
      <c r="B71" s="2" t="n">
        <v>46363</v>
      </c>
      <c r="C71" s="3">
        <f>CHOOSE(WEEKDAY(B71,2),"lunes","martes","miércoles","jueves","viernes","sábado","domingo")</f>
        <v/>
      </c>
      <c r="D71" s="3" t="n">
        <v>4</v>
      </c>
      <c r="E71" s="4" t="inlineStr">
        <is>
          <t>Vista del representante: notas y asistencia</t>
        </is>
      </c>
      <c r="F71" s="4" t="inlineStr">
        <is>
          <t>Pruebas de IDOR del representante</t>
        </is>
      </c>
      <c r="G71" s="4" t="inlineStr">
        <is>
          <t>Pruebas de acceso del representante</t>
        </is>
      </c>
      <c r="H71" s="4" t="inlineStr">
        <is>
          <t>Reporte de pruebas 403</t>
        </is>
      </c>
      <c r="I71" s="4" t="inlineStr">
        <is>
          <t>Sprint_06/Christian/</t>
        </is>
      </c>
    </row>
    <row r="72">
      <c r="B72" s="8" t="n">
        <v>46364</v>
      </c>
      <c r="C72" s="9">
        <f>CHOOSE(WEEKDAY(B72,2),"lunes","martes","miércoles","jueves","viernes","sábado","domingo")</f>
        <v/>
      </c>
      <c r="D72" s="9" t="n">
        <v>4</v>
      </c>
      <c r="E72" s="10" t="inlineStr">
        <is>
          <t>Integración, demostración e informe del sprint 6</t>
        </is>
      </c>
      <c r="F72" s="10" t="inlineStr">
        <is>
          <t>PR dev → test con reportes y tableros</t>
        </is>
      </c>
      <c r="G72" s="10" t="inlineStr">
        <is>
          <t>PR del sprint 6</t>
        </is>
      </c>
      <c r="H72" s="10" t="inlineStr">
        <is>
          <t>PR unido a test con el CI en verde</t>
        </is>
      </c>
      <c r="I72" s="10" t="inlineStr">
        <is>
          <t>Sprint_06/Christian/</t>
        </is>
      </c>
    </row>
    <row r="73">
      <c r="B73" s="2" t="n">
        <v>46365</v>
      </c>
      <c r="C73" s="3">
        <f>CHOOSE(WEEKDAY(B73,2),"lunes","martes","miércoles","jueves","viernes","sábado","domingo")</f>
        <v/>
      </c>
      <c r="D73" s="3" t="n">
        <v>4</v>
      </c>
      <c r="E73" s="4" t="inlineStr">
        <is>
          <t>Modelo y plantilla de la planificación (RF-09)</t>
        </is>
      </c>
      <c r="F73" s="4" t="inlineStr">
        <is>
          <t>API del modelo de planificación según el formato del Ministerio</t>
        </is>
      </c>
      <c r="G73" s="4" t="inlineStr">
        <is>
          <t>Endpoints de planificación</t>
        </is>
      </c>
      <c r="H73" s="4" t="inlineStr">
        <is>
          <t>Swagger y pruebas Jest</t>
        </is>
      </c>
      <c r="I73" s="4" t="inlineStr">
        <is>
          <t>Sprint_07/Christian/</t>
        </is>
      </c>
    </row>
    <row r="74">
      <c r="B74" s="2" t="n">
        <v>46366</v>
      </c>
      <c r="C74" s="3">
        <f>CHOOSE(WEEKDAY(B74,2),"lunes","martes","miércoles","jueves","viernes","sábado","domingo")</f>
        <v/>
      </c>
      <c r="D74" s="3" t="n">
        <v>4</v>
      </c>
      <c r="E74" s="4" t="inlineStr">
        <is>
          <t>Tabla semanal con actividades ERCA (RF-09)</t>
        </is>
      </c>
      <c r="F74" s="4" t="inlineStr">
        <is>
          <t>API de semanas de la planificación</t>
        </is>
      </c>
      <c r="G74" s="4" t="inlineStr">
        <is>
          <t>Endpoints de semanas</t>
        </is>
      </c>
      <c r="H74" s="4" t="inlineStr">
        <is>
          <t>Pruebas Jest</t>
        </is>
      </c>
      <c r="I74" s="4" t="inlineStr">
        <is>
          <t>Sprint_07/Christian/</t>
        </is>
      </c>
    </row>
    <row r="75">
      <c r="B75" s="2" t="n">
        <v>46367</v>
      </c>
      <c r="C75" s="3">
        <f>CHOOSE(WEEKDAY(B75,2),"lunes","martes","miércoles","jueves","viernes","sábado","domingo")</f>
        <v/>
      </c>
      <c r="D75" s="3" t="n">
        <v>4</v>
      </c>
      <c r="E75" s="4" t="inlineStr">
        <is>
          <t>Estados de la planificación y envío a revisión (RF-10, RF-11)</t>
        </is>
      </c>
      <c r="F75" s="4" t="inlineStr">
        <is>
          <t>Pruebas de transiciones no permitidas y de edición durante la revisión</t>
        </is>
      </c>
      <c r="G75" s="4" t="inlineStr">
        <is>
          <t>Pruebas de estados</t>
        </is>
      </c>
      <c r="H75" s="4" t="inlineStr">
        <is>
          <t>Reporte con los casos rechazados</t>
        </is>
      </c>
      <c r="I75" s="4" t="inlineStr">
        <is>
          <t>Sprint_07/Christian/</t>
        </is>
      </c>
    </row>
    <row r="76">
      <c r="B76" s="5" t="n">
        <v>46368</v>
      </c>
      <c r="C76" s="6">
        <f>CHOOSE(WEEKDAY(B76,2),"lunes","martes","miércoles","jueves","viernes","sábado","domingo")</f>
        <v/>
      </c>
      <c r="D76" s="6" t="n">
        <v>0</v>
      </c>
      <c r="E76" s="7" t="n"/>
      <c r="F76" s="7" t="n"/>
      <c r="G76" s="7" t="n"/>
      <c r="H76" s="7" t="n"/>
      <c r="I76" s="7" t="n"/>
    </row>
    <row r="77">
      <c r="B77" s="5" t="n">
        <v>46369</v>
      </c>
      <c r="C77" s="6">
        <f>CHOOSE(WEEKDAY(B77,2),"lunes","martes","miércoles","jueves","viernes","sábado","domingo")</f>
        <v/>
      </c>
      <c r="D77" s="6" t="n">
        <v>0</v>
      </c>
      <c r="E77" s="7" t="n"/>
      <c r="F77" s="7" t="n"/>
      <c r="G77" s="7" t="n"/>
      <c r="H77" s="7" t="n"/>
      <c r="I77" s="7" t="n"/>
    </row>
    <row r="78">
      <c r="B78" s="2" t="n">
        <v>46370</v>
      </c>
      <c r="C78" s="3">
        <f>CHOOSE(WEEKDAY(B78,2),"lunes","martes","miércoles","jueves","viernes","sábado","domingo")</f>
        <v/>
      </c>
      <c r="D78" s="3" t="n">
        <v>4</v>
      </c>
      <c r="E78" s="4" t="inlineStr">
        <is>
          <t>Revisión del Administrador con observaciones (RF-12, RF-13)</t>
        </is>
      </c>
      <c r="F78" s="4" t="inlineStr">
        <is>
          <t>API de observaciones asociadas a un campo o semana</t>
        </is>
      </c>
      <c r="G78" s="4" t="inlineStr">
        <is>
          <t>Endpoints de observaciones</t>
        </is>
      </c>
      <c r="H78" s="4" t="inlineStr">
        <is>
          <t>Pruebas Jest y Swagger</t>
        </is>
      </c>
      <c r="I78" s="4" t="inlineStr">
        <is>
          <t>Sprint_07/Christian/</t>
        </is>
      </c>
    </row>
    <row r="79">
      <c r="B79" s="2" t="n">
        <v>46371</v>
      </c>
      <c r="C79" s="3">
        <f>CHOOSE(WEEKDAY(B79,2),"lunes","martes","miércoles","jueves","viernes","sábado","domingo")</f>
        <v/>
      </c>
      <c r="D79" s="3" t="n">
        <v>4</v>
      </c>
      <c r="E79" s="4" t="inlineStr">
        <is>
          <t>Historial y documento único (RF-14, RNF-09)</t>
        </is>
      </c>
      <c r="F79" s="4" t="inlineStr">
        <is>
          <t>Resaltado en la PWA de cada observación en su campo</t>
        </is>
      </c>
      <c r="G79" s="4" t="inlineStr">
        <is>
          <t>Observaciones resaltadas</t>
        </is>
      </c>
      <c r="H79" s="4" t="inlineStr">
        <is>
          <t>Captura de la vista del docente con observaciones</t>
        </is>
      </c>
      <c r="I79" s="4" t="inlineStr">
        <is>
          <t>Sprint_07/Christian/</t>
        </is>
      </c>
    </row>
    <row r="80">
      <c r="B80" s="2" t="n">
        <v>46372</v>
      </c>
      <c r="C80" s="3">
        <f>CHOOSE(WEEKDAY(B80,2),"lunes","martes","miércoles","jueves","viernes","sábado","domingo")</f>
        <v/>
      </c>
      <c r="D80" s="3" t="n">
        <v>4</v>
      </c>
      <c r="E80" s="4" t="inlineStr">
        <is>
          <t>Exportación a Word y PDF con el formato oficial (RF-15)</t>
        </is>
      </c>
      <c r="F80" s="4" t="inlineStr">
        <is>
          <t>Exportación a Word con docx, incluido el bloque de firmas</t>
        </is>
      </c>
      <c r="G80" s="4" t="inlineStr">
        <is>
          <t>Exportación a Word</t>
        </is>
      </c>
      <c r="H80" s="4" t="inlineStr">
        <is>
          <t>Archivo .docx generado desde la plataforma</t>
        </is>
      </c>
      <c r="I80" s="4" t="inlineStr">
        <is>
          <t>Sprint_07/Christian/</t>
        </is>
      </c>
    </row>
    <row r="81">
      <c r="B81" s="2" t="n">
        <v>46373</v>
      </c>
      <c r="C81" s="3">
        <f>CHOOSE(WEEKDAY(B81,2),"lunes","martes","miércoles","jueves","viernes","sábado","domingo")</f>
        <v/>
      </c>
      <c r="D81" s="3" t="n">
        <v>4</v>
      </c>
      <c r="E81" s="4" t="inlineStr">
        <is>
          <t>Calendario a partir de la planificación (RF-16)</t>
        </is>
      </c>
      <c r="F81" s="4" t="inlineStr">
        <is>
          <t>Calendario del docente y del estudiante en la PWA</t>
        </is>
      </c>
      <c r="G81" s="4" t="inlineStr">
        <is>
          <t>Vista de calendario</t>
        </is>
      </c>
      <c r="H81" s="4" t="inlineStr">
        <is>
          <t>Capturas del calendario</t>
        </is>
      </c>
      <c r="I81" s="4" t="inlineStr">
        <is>
          <t>Sprint_07/Christian/</t>
        </is>
      </c>
    </row>
    <row r="82">
      <c r="B82" s="8" t="n">
        <v>46374</v>
      </c>
      <c r="C82" s="9">
        <f>CHOOSE(WEEKDAY(B82,2),"lunes","martes","miércoles","jueves","viernes","sábado","domingo")</f>
        <v/>
      </c>
      <c r="D82" s="9" t="n">
        <v>4</v>
      </c>
      <c r="E82" s="10" t="inlineStr">
        <is>
          <t>Integración, demostración e informe del sprint 7</t>
        </is>
      </c>
      <c r="F82" s="10" t="inlineStr">
        <is>
          <t>Demostración del flujo completo de planificación e informe del sprint</t>
        </is>
      </c>
      <c r="G82" s="10" t="inlineStr">
        <is>
          <t>Informe del sprint 7</t>
        </is>
      </c>
      <c r="H82" s="10" t="inlineStr">
        <is>
          <t>docs/sprints/sprint7.md y grabación de la demostración</t>
        </is>
      </c>
      <c r="I82" s="10" t="inlineStr">
        <is>
          <t>Sprint_07/Christian/</t>
        </is>
      </c>
    </row>
    <row r="83">
      <c r="B83" s="5" t="n">
        <v>46375</v>
      </c>
      <c r="C83" s="6">
        <f>CHOOSE(WEEKDAY(B83,2),"lunes","martes","miércoles","jueves","viernes","sábado","domingo")</f>
        <v/>
      </c>
      <c r="D83" s="6" t="n">
        <v>0</v>
      </c>
      <c r="E83" s="7" t="n"/>
      <c r="F83" s="7" t="n"/>
      <c r="G83" s="7" t="n"/>
      <c r="H83" s="7" t="n"/>
      <c r="I83" s="7" t="n"/>
    </row>
    <row r="84">
      <c r="B84" s="5" t="n">
        <v>46376</v>
      </c>
      <c r="C84" s="6">
        <f>CHOOSE(WEEKDAY(B84,2),"lunes","martes","miércoles","jueves","viernes","sábado","domingo")</f>
        <v/>
      </c>
      <c r="D84" s="6" t="n">
        <v>0</v>
      </c>
      <c r="E84" s="7" t="n"/>
      <c r="F84" s="7" t="n"/>
      <c r="G84" s="7" t="n"/>
      <c r="H84" s="7" t="n"/>
      <c r="I84" s="7" t="n"/>
    </row>
    <row r="85">
      <c r="B85" s="2" t="n">
        <v>46377</v>
      </c>
      <c r="C85" s="3">
        <f>CHOOSE(WEEKDAY(B85,2),"lunes","martes","miércoles","jueves","viernes","sábado","domingo")</f>
        <v/>
      </c>
      <c r="D85" s="3" t="n">
        <v>4</v>
      </c>
      <c r="E85" s="4" t="inlineStr">
        <is>
          <t>Preparación de WhatsApp y consentimiento del representante</t>
        </is>
      </c>
      <c r="F85" s="4" t="inlineStr">
        <is>
          <t>Pantalla de autorización y baja de avisos del representante</t>
        </is>
      </c>
      <c r="G85" s="4" t="inlineStr">
        <is>
          <t>Pantalla de consentimiento</t>
        </is>
      </c>
      <c r="H85" s="4" t="inlineStr">
        <is>
          <t>Capturas</t>
        </is>
      </c>
      <c r="I85" s="4" t="inlineStr">
        <is>
          <t>Sprint_08/Christian/</t>
        </is>
      </c>
    </row>
    <row r="86">
      <c r="B86" s="2" t="n">
        <v>46378</v>
      </c>
      <c r="C86" s="3">
        <f>CHOOSE(WEEKDAY(B86,2),"lunes","martes","miércoles","jueves","viernes","sábado","domingo")</f>
        <v/>
      </c>
      <c r="D86" s="3" t="n">
        <v>4</v>
      </c>
      <c r="E86" s="4" t="inlineStr">
        <is>
          <t>Adaptador de WhatsApp y plantillas de mensajes (RNF-05)</t>
        </is>
      </c>
      <c r="F86" s="4" t="inlineStr">
        <is>
          <t>Registro de los números de WhatsApp del representante y de su autorización en la matrícula (RF-29)</t>
        </is>
      </c>
      <c r="G86" s="4" t="inlineStr">
        <is>
          <t>Pantalla de contactos del representante</t>
        </is>
      </c>
      <c r="H86" s="4" t="inlineStr">
        <is>
          <t>Capturas de la matrícula con el número y la autorización</t>
        </is>
      </c>
      <c r="I86" s="4" t="inlineStr">
        <is>
          <t>Sprint_08/Christian/</t>
        </is>
      </c>
    </row>
    <row r="87">
      <c r="B87" s="2" t="n">
        <v>46379</v>
      </c>
      <c r="C87" s="3">
        <f>CHOOSE(WEEKDAY(B87,2),"lunes","martes","miércoles","jueves","viernes","sábado","domingo")</f>
        <v/>
      </c>
      <c r="D87" s="3" t="n">
        <v>4</v>
      </c>
      <c r="E87" s="4" t="inlineStr">
        <is>
          <t>Avisos automáticos por promedio y faltas (RF-30, RF-31, RF-35)</t>
        </is>
      </c>
      <c r="F87" s="4" t="inlineStr">
        <is>
          <t>Prueba de punta a punta con el número de prueba</t>
        </is>
      </c>
      <c r="G87" s="4" t="inlineStr">
        <is>
          <t>Prueba real de aviso</t>
        </is>
      </c>
      <c r="H87" s="4" t="inlineStr">
        <is>
          <t>Captura del mensaje recibido en WhatsApp</t>
        </is>
      </c>
      <c r="I87" s="4" t="inlineStr">
        <is>
          <t>Sprint_08/Christian/</t>
        </is>
      </c>
    </row>
    <row r="88">
      <c r="B88" s="2" t="n">
        <v>46380</v>
      </c>
      <c r="C88" s="3">
        <f>CHOOSE(WEEKDAY(B88,2),"lunes","martes","miércoles","jueves","viernes","sábado","domingo")</f>
        <v/>
      </c>
      <c r="D88" s="3" t="n">
        <v>4</v>
      </c>
      <c r="E88" s="4" t="inlineStr">
        <is>
          <t>Antiduplicados y avisos de tareas (RF-32, RF-34)</t>
        </is>
      </c>
      <c r="F88" s="4" t="inlineStr">
        <is>
          <t>Regla antiduplicados por motivo y periodo</t>
        </is>
      </c>
      <c r="G88" s="4" t="inlineStr">
        <is>
          <t>Antiduplicados</t>
        </is>
      </c>
      <c r="H88" s="4" t="inlineStr">
        <is>
          <t>Pruebas Jest</t>
        </is>
      </c>
      <c r="I88" s="4" t="inlineStr">
        <is>
          <t>Sprint_08/Christian/</t>
        </is>
      </c>
    </row>
    <row r="89">
      <c r="B89" s="5" t="n">
        <v>46381</v>
      </c>
      <c r="C89" s="6">
        <f>CHOOSE(WEEKDAY(B89,2),"lunes","martes","miércoles","jueves","viernes","sábado","domingo")</f>
        <v/>
      </c>
      <c r="D89" s="6" t="n">
        <v>0</v>
      </c>
      <c r="E89" s="7" t="inlineStr">
        <is>
          <t>Feriado: Navidad</t>
        </is>
      </c>
      <c r="F89" s="7" t="n"/>
      <c r="G89" s="7" t="n"/>
      <c r="H89" s="7" t="n"/>
      <c r="I89" s="7" t="n"/>
    </row>
    <row r="90">
      <c r="B90" s="5" t="n">
        <v>46382</v>
      </c>
      <c r="C90" s="6">
        <f>CHOOSE(WEEKDAY(B90,2),"lunes","martes","miércoles","jueves","viernes","sábado","domingo")</f>
        <v/>
      </c>
      <c r="D90" s="6" t="n">
        <v>0</v>
      </c>
      <c r="E90" s="7" t="n"/>
      <c r="F90" s="7" t="n"/>
      <c r="G90" s="7" t="n"/>
      <c r="H90" s="7" t="n"/>
      <c r="I90" s="7" t="n"/>
    </row>
    <row r="91">
      <c r="B91" s="5" t="n">
        <v>46383</v>
      </c>
      <c r="C91" s="6">
        <f>CHOOSE(WEEKDAY(B91,2),"lunes","martes","miércoles","jueves","viernes","sábado","domingo")</f>
        <v/>
      </c>
      <c r="D91" s="6" t="n">
        <v>0</v>
      </c>
      <c r="E91" s="7" t="n"/>
      <c r="F91" s="7" t="n"/>
      <c r="G91" s="7" t="n"/>
      <c r="H91" s="7" t="n"/>
      <c r="I91" s="7" t="n"/>
    </row>
    <row r="92">
      <c r="B92" s="2" t="n">
        <v>46384</v>
      </c>
      <c r="C92" s="3">
        <f>CHOOSE(WEEKDAY(B92,2),"lunes","martes","miércoles","jueves","viernes","sábado","domingo")</f>
        <v/>
      </c>
      <c r="D92" s="3" t="n">
        <v>4</v>
      </c>
      <c r="E92" s="4" t="inlineStr">
        <is>
          <t>Historial de notificaciones (RF-33) e integración</t>
        </is>
      </c>
      <c r="F92" s="4" t="inlineStr">
        <is>
          <t>Pantalla del historial para docente y administrador</t>
        </is>
      </c>
      <c r="G92" s="4" t="inlineStr">
        <is>
          <t>Pantalla de historial</t>
        </is>
      </c>
      <c r="H92" s="4" t="inlineStr">
        <is>
          <t>Capturas</t>
        </is>
      </c>
      <c r="I92" s="4" t="inlineStr">
        <is>
          <t>Sprint_08/Christian/</t>
        </is>
      </c>
    </row>
    <row r="93">
      <c r="B93" s="8" t="n">
        <v>46385</v>
      </c>
      <c r="C93" s="9">
        <f>CHOOSE(WEEKDAY(B93,2),"lunes","martes","miércoles","jueves","viernes","sábado","domingo")</f>
        <v/>
      </c>
      <c r="D93" s="9" t="n">
        <v>4</v>
      </c>
      <c r="E93" s="10" t="inlineStr">
        <is>
          <t>Integración, demostración e informe del sprint 8</t>
        </is>
      </c>
      <c r="F93" s="10" t="inlineStr">
        <is>
          <t>Demostración de un aviso real por WhatsApp</t>
        </is>
      </c>
      <c r="G93" s="10" t="inlineStr">
        <is>
          <t>Notificaciones por WhatsApp</t>
        </is>
      </c>
      <c r="H93" s="10" t="inlineStr">
        <is>
          <t>Grabación de la demostración</t>
        </is>
      </c>
      <c r="I93" s="10" t="inlineStr">
        <is>
          <t>Sprint_08/Christian/</t>
        </is>
      </c>
    </row>
    <row r="94">
      <c r="B94" s="2" t="n">
        <v>46386</v>
      </c>
      <c r="C94" s="3">
        <f>CHOOSE(WEEKDAY(B94,2),"lunes","martes","miércoles","jueves","viernes","sábado","domingo")</f>
        <v/>
      </c>
      <c r="D94" s="3" t="n">
        <v>4</v>
      </c>
      <c r="E94" s="4" t="inlineStr">
        <is>
          <t>Almacenamiento local y service worker (RNF-01)</t>
        </is>
      </c>
      <c r="F94" s="4" t="inlineStr">
        <is>
          <t>Service worker con Workbox para usar la app sin internet</t>
        </is>
      </c>
      <c r="G94" s="4" t="inlineStr">
        <is>
          <t>Service worker</t>
        </is>
      </c>
      <c r="H94" s="4" t="inlineStr">
        <is>
          <t>Captura de la app cargando en modo sin conexión</t>
        </is>
      </c>
      <c r="I94" s="4" t="inlineStr">
        <is>
          <t>Sprint_09/Christian/</t>
        </is>
      </c>
    </row>
    <row r="95">
      <c r="B95" s="2" t="n">
        <v>46387</v>
      </c>
      <c r="C95" s="3">
        <f>CHOOSE(WEEKDAY(B95,2),"lunes","martes","miércoles","jueves","viernes","sábado","domingo")</f>
        <v/>
      </c>
      <c r="D95" s="3" t="n">
        <v>4</v>
      </c>
      <c r="E95" s="4" t="inlineStr">
        <is>
          <t>Cola de cambios sin conexión</t>
        </is>
      </c>
      <c r="F95" s="4" t="inlineStr">
        <is>
          <t>Indicador de estado de conexión y de cambios pendientes</t>
        </is>
      </c>
      <c r="G95" s="4" t="inlineStr">
        <is>
          <t>Indicador de conexión</t>
        </is>
      </c>
      <c r="H95" s="4" t="inlineStr">
        <is>
          <t>Capturas en línea y sin conexión</t>
        </is>
      </c>
      <c r="I95" s="4" t="inlineStr">
        <is>
          <t>Sprint_09/Christian/</t>
        </is>
      </c>
    </row>
    <row r="96">
      <c r="B96" s="5" t="n">
        <v>46388</v>
      </c>
      <c r="C96" s="6">
        <f>CHOOSE(WEEKDAY(B96,2),"lunes","martes","miércoles","jueves","viernes","sábado","domingo")</f>
        <v/>
      </c>
      <c r="D96" s="6" t="n">
        <v>0</v>
      </c>
      <c r="E96" s="7" t="inlineStr">
        <is>
          <t>Feriado: Año Nuevo</t>
        </is>
      </c>
      <c r="F96" s="7" t="n"/>
      <c r="G96" s="7" t="n"/>
      <c r="H96" s="7" t="n"/>
      <c r="I96" s="7" t="n"/>
    </row>
    <row r="97">
      <c r="B97" s="5" t="n">
        <v>46389</v>
      </c>
      <c r="C97" s="6">
        <f>CHOOSE(WEEKDAY(B97,2),"lunes","martes","miércoles","jueves","viernes","sábado","domingo")</f>
        <v/>
      </c>
      <c r="D97" s="6" t="n">
        <v>0</v>
      </c>
      <c r="E97" s="7" t="n"/>
      <c r="F97" s="7" t="n"/>
      <c r="G97" s="7" t="n"/>
      <c r="H97" s="7" t="n"/>
      <c r="I97" s="7" t="n"/>
    </row>
    <row r="98">
      <c r="B98" s="5" t="n">
        <v>46390</v>
      </c>
      <c r="C98" s="6">
        <f>CHOOSE(WEEKDAY(B98,2),"lunes","martes","miércoles","jueves","viernes","sábado","domingo")</f>
        <v/>
      </c>
      <c r="D98" s="6" t="n">
        <v>0</v>
      </c>
      <c r="E98" s="7" t="n"/>
      <c r="F98" s="7" t="n"/>
      <c r="G98" s="7" t="n"/>
      <c r="H98" s="7" t="n"/>
      <c r="I98" s="7" t="n"/>
    </row>
    <row r="99">
      <c r="B99" s="2" t="n">
        <v>46391</v>
      </c>
      <c r="C99" s="3">
        <f>CHOOSE(WEEKDAY(B99,2),"lunes","martes","miércoles","jueves","viernes","sábado","domingo")</f>
        <v/>
      </c>
      <c r="D99" s="3" t="n">
        <v>4</v>
      </c>
      <c r="E99" s="4" t="inlineStr">
        <is>
          <t>Sincronización y conflictos</t>
        </is>
      </c>
      <c r="F99" s="4" t="inlineStr">
        <is>
          <t>Sincronización automática al recuperar la conexión</t>
        </is>
      </c>
      <c r="G99" s="4" t="inlineStr">
        <is>
          <t>Sincronización automática</t>
        </is>
      </c>
      <c r="H99" s="4" t="inlineStr">
        <is>
          <t>Captura de cambios sincronizados</t>
        </is>
      </c>
      <c r="I99" s="4" t="inlineStr">
        <is>
          <t>Sprint_09/Christian/</t>
        </is>
      </c>
    </row>
    <row r="100">
      <c r="B100" s="2" t="n">
        <v>46392</v>
      </c>
      <c r="C100" s="3">
        <f>CHOOSE(WEEKDAY(B100,2),"lunes","martes","miércoles","jueves","viernes","sábado","domingo")</f>
        <v/>
      </c>
      <c r="D100" s="3" t="n">
        <v>4</v>
      </c>
      <c r="E100" s="4" t="inlineStr">
        <is>
          <t>Pruebas del modo sin conexión</t>
        </is>
      </c>
      <c r="F100" s="4" t="inlineStr">
        <is>
          <t>Prueba en celular en modo avión</t>
        </is>
      </c>
      <c r="G100" s="4" t="inlineStr">
        <is>
          <t>Prueba en celular</t>
        </is>
      </c>
      <c r="H100" s="4" t="inlineStr">
        <is>
          <t>Grabación en modo avión</t>
        </is>
      </c>
      <c r="I100" s="4" t="inlineStr">
        <is>
          <t>Sprint_09/Christian/</t>
        </is>
      </c>
    </row>
    <row r="101">
      <c r="B101" s="2" t="n">
        <v>46393</v>
      </c>
      <c r="C101" s="3">
        <f>CHOOSE(WEEKDAY(B101,2),"lunes","martes","miércoles","jueves","viernes","sábado","domingo")</f>
        <v/>
      </c>
      <c r="D101" s="3" t="n">
        <v>4</v>
      </c>
      <c r="E101" s="4" t="inlineStr">
        <is>
          <t>Integración del trabajo sin conexión y PWA instalable</t>
        </is>
      </c>
      <c r="F101" s="4" t="inlineStr">
        <is>
          <t>Manifest e instalación de la PWA en celular y computadora</t>
        </is>
      </c>
      <c r="G101" s="4" t="inlineStr">
        <is>
          <t>PWA instalable</t>
        </is>
      </c>
      <c r="H101" s="4" t="inlineStr">
        <is>
          <t>Captura del puntaje PWA en Lighthouse</t>
        </is>
      </c>
      <c r="I101" s="4" t="inlineStr">
        <is>
          <t>Sprint_09/Christian/</t>
        </is>
      </c>
    </row>
    <row r="102">
      <c r="B102" s="2" t="n">
        <v>46394</v>
      </c>
      <c r="C102" s="3">
        <f>CHOOSE(WEEKDAY(B102,2),"lunes","martes","miércoles","jueves","viernes","sábado","domingo")</f>
        <v/>
      </c>
      <c r="D102" s="3" t="n">
        <v>4</v>
      </c>
      <c r="E102" s="4" t="inlineStr">
        <is>
          <t>Rendimiento con usuarios simultáneos (RNF-06)</t>
        </is>
      </c>
      <c r="F102" s="4" t="inlineStr">
        <is>
          <t>Optimización del tamaño de la PWA y del tiempo de carga</t>
        </is>
      </c>
      <c r="G102" s="4" t="inlineStr">
        <is>
          <t>Optimización de la PWA</t>
        </is>
      </c>
      <c r="H102" s="4" t="inlineStr">
        <is>
          <t>Reporte de Lighthouse</t>
        </is>
      </c>
      <c r="I102" s="4" t="inlineStr">
        <is>
          <t>Sprint_09/Christian/</t>
        </is>
      </c>
    </row>
    <row r="103">
      <c r="B103" s="8" t="n">
        <v>46395</v>
      </c>
      <c r="C103" s="9">
        <f>CHOOSE(WEEKDAY(B103,2),"lunes","martes","miércoles","jueves","viernes","sábado","domingo")</f>
        <v/>
      </c>
      <c r="D103" s="9" t="n">
        <v>4</v>
      </c>
      <c r="E103" s="10" t="inlineStr">
        <is>
          <t>Integración, demostración e informe del sprint 9</t>
        </is>
      </c>
      <c r="F103" s="10" t="inlineStr">
        <is>
          <t>Informe del sprint 9 y tablero actualizado</t>
        </is>
      </c>
      <c r="G103" s="10" t="inlineStr">
        <is>
          <t>Informe del sprint 9</t>
        </is>
      </c>
      <c r="H103" s="10" t="inlineStr">
        <is>
          <t>docs/sprints/sprint9.md en el repositorio</t>
        </is>
      </c>
      <c r="I103" s="10" t="inlineStr">
        <is>
          <t>Sprint_09/Christian/</t>
        </is>
      </c>
    </row>
    <row r="104">
      <c r="B104" s="5" t="n">
        <v>46396</v>
      </c>
      <c r="C104" s="6">
        <f>CHOOSE(WEEKDAY(B104,2),"lunes","martes","miércoles","jueves","viernes","sábado","domingo")</f>
        <v/>
      </c>
      <c r="D104" s="6" t="n">
        <v>0</v>
      </c>
      <c r="E104" s="7" t="n"/>
      <c r="F104" s="7" t="n"/>
      <c r="G104" s="7" t="n"/>
      <c r="H104" s="7" t="n"/>
      <c r="I104" s="7" t="n"/>
    </row>
    <row r="105">
      <c r="B105" s="5" t="n">
        <v>46397</v>
      </c>
      <c r="C105" s="6">
        <f>CHOOSE(WEEKDAY(B105,2),"lunes","martes","miércoles","jueves","viernes","sábado","domingo")</f>
        <v/>
      </c>
      <c r="D105" s="6" t="n">
        <v>0</v>
      </c>
      <c r="E105" s="7" t="n"/>
      <c r="F105" s="7" t="n"/>
      <c r="G105" s="7" t="n"/>
      <c r="H105" s="7" t="n"/>
      <c r="I105" s="7" t="n"/>
    </row>
    <row r="106">
      <c r="B106" s="2" t="n">
        <v>46398</v>
      </c>
      <c r="C106" s="3">
        <f>CHOOSE(WEEKDAY(B106,2),"lunes","martes","miércoles","jueves","viernes","sábado","domingo")</f>
        <v/>
      </c>
      <c r="D106" s="3" t="n">
        <v>4</v>
      </c>
      <c r="E106" s="4" t="inlineStr">
        <is>
          <t>Pruebas de aceptación con los criterios del SRS</t>
        </is>
      </c>
      <c r="F106" s="4" t="inlineStr">
        <is>
          <t>Criterios 1 y 4: flujo de planificación y trabajo sin conexión</t>
        </is>
      </c>
      <c r="G106" s="4" t="inlineStr">
        <is>
          <t>Aceptación de flujos</t>
        </is>
      </c>
      <c r="H106" s="4" t="inlineStr">
        <is>
          <t>Grabación de los flujos</t>
        </is>
      </c>
      <c r="I106" s="4" t="inlineStr">
        <is>
          <t>Sprint_10/Christian/</t>
        </is>
      </c>
    </row>
    <row r="107">
      <c r="B107" s="2" t="n">
        <v>46399</v>
      </c>
      <c r="C107" s="3">
        <f>CHOOSE(WEEKDAY(B107,2),"lunes","martes","miércoles","jueves","viernes","sábado","domingo")</f>
        <v/>
      </c>
      <c r="D107" s="3" t="n">
        <v>4</v>
      </c>
      <c r="E107" s="4" t="inlineStr">
        <is>
          <t>Corrección de hallazgos y pruebas finales</t>
        </is>
      </c>
      <c r="F107" s="4" t="inlineStr">
        <is>
          <t>Corrección de errores de la interfaz y prueba en navegadores</t>
        </is>
      </c>
      <c r="G107" s="4" t="inlineStr">
        <is>
          <t>Correcciones del frontend</t>
        </is>
      </c>
      <c r="H107" s="4" t="inlineStr">
        <is>
          <t>Capturas en los tres navegadores</t>
        </is>
      </c>
      <c r="I107" s="4" t="inlineStr">
        <is>
          <t>Sprint_10/Christian/</t>
        </is>
      </c>
    </row>
    <row r="108">
      <c r="B108" s="2" t="n">
        <v>46400</v>
      </c>
      <c r="C108" s="3">
        <f>CHOOSE(WEEKDAY(B108,2),"lunes","martes","miércoles","jueves","viernes","sábado","domingo")</f>
        <v/>
      </c>
      <c r="D108" s="3" t="n">
        <v>4</v>
      </c>
      <c r="E108" s="4" t="inlineStr">
        <is>
          <t>Despliegue final y release</t>
        </is>
      </c>
      <c r="F108" s="4" t="inlineStr">
        <is>
          <t>Manual de usuario por rol</t>
        </is>
      </c>
      <c r="G108" s="4" t="inlineStr">
        <is>
          <t>Manual de usuario</t>
        </is>
      </c>
      <c r="H108" s="4" t="inlineStr">
        <is>
          <t>docs/manual_usuario.md o PDF en el repositorio</t>
        </is>
      </c>
      <c r="I108" s="4" t="inlineStr">
        <is>
          <t>Sprint_10/Christian/</t>
        </is>
      </c>
    </row>
    <row r="109">
      <c r="B109" s="2" t="n">
        <v>46401</v>
      </c>
      <c r="C109" s="3">
        <f>CHOOSE(WEEKDAY(B109,2),"lunes","martes","miércoles","jueves","viernes","sábado","domingo")</f>
        <v/>
      </c>
      <c r="D109" s="3" t="n">
        <v>4</v>
      </c>
      <c r="E109" s="4" t="inlineStr">
        <is>
          <t>Documentación y capacitación (RNF-11)</t>
        </is>
      </c>
      <c r="F109" s="4" t="inlineStr">
        <is>
          <t>Video y material de capacitación</t>
        </is>
      </c>
      <c r="G109" s="4" t="inlineStr">
        <is>
          <t>Material de capacitación</t>
        </is>
      </c>
      <c r="H109" s="4" t="inlineStr">
        <is>
          <t>Enlace al video</t>
        </is>
      </c>
      <c r="I109" s="4" t="inlineStr">
        <is>
          <t>Sprint_10/Christian/</t>
        </is>
      </c>
    </row>
    <row r="110">
      <c r="B110" s="8" t="n">
        <v>46402</v>
      </c>
      <c r="C110" s="9">
        <f>CHOOSE(WEEKDAY(B110,2),"lunes","martes","miércoles","jueves","viernes","sábado","domingo")</f>
        <v/>
      </c>
      <c r="D110" s="9" t="n">
        <v>4</v>
      </c>
      <c r="E110" s="10" t="inlineStr">
        <is>
          <t>Presentación final y entrega</t>
        </is>
      </c>
      <c r="F110" s="10" t="inlineStr">
        <is>
          <t>Diapositivas de la presentación</t>
        </is>
      </c>
      <c r="G110" s="10" t="inlineStr">
        <is>
          <t>Presentación final</t>
        </is>
      </c>
      <c r="H110" s="10" t="inlineStr">
        <is>
          <t>Diapositivas en el repositorio</t>
        </is>
      </c>
      <c r="I110" s="10" t="inlineStr">
        <is>
          <t>Sprint_10/Christian/</t>
        </is>
      </c>
    </row>
    <row r="111">
      <c r="C111" s="11" t="inlineStr">
        <is>
          <t>Total horas</t>
        </is>
      </c>
      <c r="D111" s="11">
        <f>SUM(D3:D110)</f>
        <v/>
      </c>
    </row>
  </sheetData>
  <hyperlinks>
    <hyperlink xmlns:r="http://schemas.openxmlformats.org/officeDocument/2006/relationships" ref="G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1" customWidth="1" min="3" max="3"/>
    <col width="12" customWidth="1" min="4" max="4"/>
    <col width="45" customWidth="1" min="5" max="5"/>
    <col width="80" customWidth="1" min="6" max="6"/>
  </cols>
  <sheetData>
    <row r="1">
      <c r="B1" s="1" t="inlineStr">
        <is>
          <t>Sprint</t>
        </is>
      </c>
      <c r="C1" s="1" t="inlineStr">
        <is>
          <t>Inicio</t>
        </is>
      </c>
      <c r="D1" s="1" t="inlineStr">
        <is>
          <t>Fin (demostración)</t>
        </is>
      </c>
      <c r="E1" s="1" t="inlineStr">
        <is>
          <t>Objetivo</t>
        </is>
      </c>
      <c r="F1" s="1" t="inlineStr">
        <is>
          <t>Hito verificable</t>
        </is>
      </c>
    </row>
    <row r="2">
      <c r="B2" s="3" t="inlineStr">
        <is>
          <t>Sprint 1</t>
        </is>
      </c>
      <c r="C2" s="2" t="n">
        <v>46295</v>
      </c>
      <c r="D2" s="2" t="n">
        <v>46301</v>
      </c>
      <c r="E2" s="4" t="inlineStr">
        <is>
          <t>Concepción del proyecto y propuesta del SI</t>
        </is>
      </c>
      <c r="F2" s="4" t="inlineStr">
        <is>
          <t>Tema definido (30/09) y Entregable 1 (Propuesta de SI) entregado el 06/10</t>
        </is>
      </c>
    </row>
    <row r="3">
      <c r="B3" s="3" t="inlineStr">
        <is>
          <t>Sprint 2</t>
        </is>
      </c>
      <c r="C3" s="2" t="n">
        <v>46302</v>
      </c>
      <c r="D3" s="2" t="n">
        <v>46315</v>
      </c>
      <c r="E3" s="4" t="inlineStr">
        <is>
          <t>Procesos, requisitos y análisis</t>
        </is>
      </c>
      <c r="F3" s="4" t="inlineStr">
        <is>
          <t>SRS, BPMN, casos de uso y taller de riesgos; Entregable 2 entregado el 20/10</t>
        </is>
      </c>
    </row>
    <row r="4">
      <c r="B4" s="3" t="inlineStr">
        <is>
          <t>Sprint 3</t>
        </is>
      </c>
      <c r="C4" s="2" t="n">
        <v>46316</v>
      </c>
      <c r="D4" s="2" t="n">
        <v>46325</v>
      </c>
      <c r="E4" s="4" t="inlineStr">
        <is>
          <t>Planificación, repositorio y CI/CD básico</t>
        </is>
      </c>
      <c r="F4" s="4" t="inlineStr">
        <is>
          <t>Organización de GitHub, ramas protegidas y Product Backlog (21/10); tecnologías y Entregable 3 (22/10); CI con avisos en Telegram y esqueleto unido a test</t>
        </is>
      </c>
    </row>
    <row r="5">
      <c r="B5" s="3" t="inlineStr">
        <is>
          <t>Sprint 4</t>
        </is>
      </c>
      <c r="C5" s="2" t="n">
        <v>46330</v>
      </c>
      <c r="D5" s="2" t="n">
        <v>46339</v>
      </c>
      <c r="E5" s="4" t="inlineStr">
        <is>
          <t>Autenticación, usuarios y matrícula</t>
        </is>
      </c>
      <c r="F5" s="4" t="inlineStr">
        <is>
          <t>Inicio de sesión por rol, gestión académica y matrícula individual y por Excel (RF-01 a RF-07)</t>
        </is>
      </c>
    </row>
    <row r="6">
      <c r="B6" s="3" t="inlineStr">
        <is>
          <t>Sprint 5</t>
        </is>
      </c>
      <c r="C6" s="2" t="n">
        <v>46342</v>
      </c>
      <c r="D6" s="2" t="n">
        <v>46353</v>
      </c>
      <c r="E6" s="4" t="inlineStr">
        <is>
          <t>Ambiente de pruebas y calificaciones</t>
        </is>
      </c>
      <c r="F6" s="4" t="inlineStr">
        <is>
          <t>Ambiente de pruebas con CD; notas idénticas a la hoja oficial, tareas, asistencia, comportamiento y auditoría (RF-17 a RF-22)</t>
        </is>
      </c>
    </row>
    <row r="7">
      <c r="B7" s="3" t="inlineStr">
        <is>
          <t>Sprint 6</t>
        </is>
      </c>
      <c r="C7" s="2" t="n">
        <v>46356</v>
      </c>
      <c r="D7" s="2" t="n">
        <v>46364</v>
      </c>
      <c r="E7" s="4" t="inlineStr">
        <is>
          <t>Reportes, tableros y vista del representante</t>
        </is>
      </c>
      <c r="F7" s="4" t="inlineStr">
        <is>
          <t>Estándares, valoración de logros, tableros, Excel y vista del representante (RF-23 a RF-28, RF-37, RF-38)</t>
        </is>
      </c>
    </row>
    <row r="8">
      <c r="B8" s="3" t="inlineStr">
        <is>
          <t>Sprint 7</t>
        </is>
      </c>
      <c r="C8" s="2" t="n">
        <v>46365</v>
      </c>
      <c r="D8" s="2" t="n">
        <v>46374</v>
      </c>
      <c r="E8" s="4" t="inlineStr">
        <is>
          <t>Planificación curricular con revisión</t>
        </is>
      </c>
      <c r="F8" s="4" t="inlineStr">
        <is>
          <t>Planificación con estados, observaciones por campo, Word/PDF y calendario (RF-09 a RF-16)</t>
        </is>
      </c>
    </row>
    <row r="9">
      <c r="B9" s="3" t="inlineStr">
        <is>
          <t>Sprint 8</t>
        </is>
      </c>
      <c r="C9" s="2" t="n">
        <v>46377</v>
      </c>
      <c r="D9" s="2" t="n">
        <v>46385</v>
      </c>
      <c r="E9" s="4" t="inlineStr">
        <is>
          <t>Notificaciones por WhatsApp</t>
        </is>
      </c>
      <c r="F9" s="4" t="inlineStr">
        <is>
          <t>Aviso real al representante con consentimiento, antiduplicados e historial (RF-29 a RF-35)</t>
        </is>
      </c>
    </row>
    <row r="10">
      <c r="B10" s="3" t="inlineStr">
        <is>
          <t>Sprint 9</t>
        </is>
      </c>
      <c r="C10" s="2" t="n">
        <v>46386</v>
      </c>
      <c r="D10" s="2" t="n">
        <v>46395</v>
      </c>
      <c r="E10" s="4" t="inlineStr">
        <is>
          <t>Trabajo sin conexión y rendimiento</t>
        </is>
      </c>
      <c r="F10" s="4" t="inlineStr">
        <is>
          <t>Registro sin internet con sincronización; PWA instalable; prueba de carga 60 docentes / 400 estudiantes</t>
        </is>
      </c>
    </row>
    <row r="11">
      <c r="B11" s="3" t="inlineStr">
        <is>
          <t>Sprint 10</t>
        </is>
      </c>
      <c r="C11" s="2" t="n">
        <v>46398</v>
      </c>
      <c r="D11" s="2" t="n">
        <v>46402</v>
      </c>
      <c r="E11" s="4" t="inlineStr">
        <is>
          <t>Aceptación, despliegue y entrega</t>
        </is>
      </c>
      <c r="F11" s="4" t="inlineStr">
        <is>
          <t>Criterios de aceptación cumplidos y versión v1.0.0 publicada</t>
        </is>
      </c>
    </row>
    <row r="13">
      <c r="B13" s="11" t="inlineStr">
        <is>
          <t>Evidencias:</t>
        </is>
      </c>
      <c r="C13" s="13" t="inlineStr">
        <is>
          <t>Carpeta compartida en Google Drive</t>
        </is>
      </c>
    </row>
  </sheetData>
  <hyperlinks>
    <hyperlink xmlns:r="http://schemas.openxmlformats.org/officeDocument/2006/relationships" ref="C1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2026-10-21T21:42:35Z</dcterms:created>
  <dcterms:modified xsi:type="dcterms:W3CDTF">2026-10-21T21:42:35Z</dcterms:modified>
</cp:coreProperties>
</file>