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es" sheetId="1" r:id="rId4"/>
    <sheet state="visible" name="Marcelo" sheetId="2" r:id="rId5"/>
    <sheet state="visible" name="Abner" sheetId="3" r:id="rId6"/>
    <sheet state="visible" name="Christian" sheetId="4" r:id="rId7"/>
    <sheet state="visible" name="Sprints" sheetId="5" r:id="rId8"/>
  </sheets>
  <definedNames/>
  <calcPr/>
  <extLst>
    <ext uri="GoogleSheetsCustomDataVersion2">
      <go:sheetsCustomData xmlns:go="http://customooxmlschemas.google.com/" r:id="rId9" roundtripDataChecksum="FGqGto4tpLEp2KPn6xT2B+oLZUfNP89L382SsiTuv80="/>
    </ext>
  </extLst>
</workbook>
</file>

<file path=xl/sharedStrings.xml><?xml version="1.0" encoding="utf-8"?>
<sst xmlns="http://schemas.openxmlformats.org/spreadsheetml/2006/main" count="1496" uniqueCount="877">
  <si>
    <t>Fecha</t>
  </si>
  <si>
    <t>Dia</t>
  </si>
  <si>
    <t>Horas</t>
  </si>
  <si>
    <t>Actividad</t>
  </si>
  <si>
    <t>Entregable</t>
  </si>
  <si>
    <t>Evidencia</t>
  </si>
  <si>
    <t>Carpeta en Drive</t>
  </si>
  <si>
    <t>Christian Bonifaz – Participante 3: responsable de la PWA (React/TypeScript), trabajo sin conexión y pruebas e2e (rota en los módulos)</t>
  </si>
  <si>
    <t>Abner Arboleda – Participante 2: responsable de DevSecOps, CI/CD, ms-identidad (Java/Spring Boot), gateway y pruebas de carga (rota en los módulos)</t>
  </si>
  <si>
    <t>Marcelo Acuña – Participante 1: responsable de ms-academico (NestJS/TypeScript), cálculo de notas y ms-notificaciones (Python) (rota en los módulos)</t>
  </si>
  <si>
    <t>Evidencias en Google Drive (abrir carpeta)</t>
  </si>
  <si>
    <t>Definición del tema del proyecto y del cliente</t>
  </si>
  <si>
    <t>Tema del proyecto definido; Inventario de documentos del cliente; Lista de funcionalidades del prototipo</t>
  </si>
  <si>
    <t>Acta o resumen de la reunión en el Drive; Lista de documentos recibidos en el Drive; Capturas del prototipo en el Drive</t>
  </si>
  <si>
    <t>Sprint_01/</t>
  </si>
  <si>
    <t>Problemática y necesidad del proyecto</t>
  </si>
  <si>
    <t>Problema redactado; Afectados y consecuencias; Necesidad y oportunidad</t>
  </si>
  <si>
    <t>Borrador del Entregable 1 en el Drive; Borrador del Entregable 1 en el Drive; Borrador del Entregable 1 en el Drive</t>
  </si>
  <si>
    <t>Matriz del ciclo de vida (SDLC) aplicada al proyecto</t>
  </si>
  <si>
    <t>Matriz SDLC (parte 1); Matriz SDLC (parte 2); Diagrama del SDLC</t>
  </si>
  <si>
    <t>Matriz en el borrador del Entregable 1; Matriz en el borrador del Entregable 1; Imagen del diagrama en el Drive</t>
  </si>
  <si>
    <t>Subactividad</t>
  </si>
  <si>
    <t>Relación necesidad → requisito → artefacto</t>
  </si>
  <si>
    <t>Filas 1 y 2 de la tabla; Filas 3 y 4 de la tabla; Fila 5 y tabla revisada</t>
  </si>
  <si>
    <t>Tabla en el borrador del Entregable 1; Tabla en el borrador del Entregable 1; Tabla en el borrador del Entregable 1</t>
  </si>
  <si>
    <t>Revisión y entrega del Entregable 1 (Propuesta de SI) – cierre del sprint 1</t>
  </si>
  <si>
    <t>Entregable 1 entregado; Entregable 1 revisado; PDF final</t>
  </si>
  <si>
    <t>PDF del Entregable 1 en 00_Entregables y constancia de entrega; Comentarios resueltos en el documento; PDF del Entregable 1 en el Drive</t>
  </si>
  <si>
    <t>00_Entregables/</t>
  </si>
  <si>
    <t>Reunión inicial con el vicerrector de la U. E. 'Andoas' y definición del tema y alcance preliminar</t>
  </si>
  <si>
    <t>Revisión del prototipo inicial y lista de funcionalidades que ya muestra</t>
  </si>
  <si>
    <t>Tema del proyecto definido</t>
  </si>
  <si>
    <t>Lista de funcionalidades del prototipo</t>
  </si>
  <si>
    <t>Proceso de negocio actual y propuesto</t>
  </si>
  <si>
    <t>Acta o resumen de la reunión en el Drive</t>
  </si>
  <si>
    <t>Situación actual; Situación propuesta; Jerarquía de procesos</t>
  </si>
  <si>
    <t>Capturas del prototipo en el Drive</t>
  </si>
  <si>
    <t>Borrador del Entregable 2 en el Drive; Borrador del Entregable 2 en el Drive; Tabla en el borrador del Entregable 2</t>
  </si>
  <si>
    <t>Sprint_01/Marcelo/</t>
  </si>
  <si>
    <t>Sprint_01/Christian/</t>
  </si>
  <si>
    <t>Sprint_02/</t>
  </si>
  <si>
    <t>Modelo BPMN del proceso en Bizagi</t>
  </si>
  <si>
    <t>Modelo BPMN (docente); Modelo BPMN (administrador); Modelo BPMN completo</t>
  </si>
  <si>
    <t>Redacción del problema real: planificación, calificaciones y comunicación</t>
  </si>
  <si>
    <t>Archivo de Bizagi en 01_Modelos/Procesos_BPMN; Archivo de Bizagi en 01_Modelos/Procesos_BPMN; Modelo.png en 01_Modelos/Procesos_BPMN</t>
  </si>
  <si>
    <t>Problema redactado</t>
  </si>
  <si>
    <t>Necesidad y oportunidad, sin mencionar tecnologías</t>
  </si>
  <si>
    <t>01_Modelos/</t>
  </si>
  <si>
    <t>Borrador del Entregable 1 en el Drive</t>
  </si>
  <si>
    <t>Necesidad y oportunidad</t>
  </si>
  <si>
    <t>Feriado: Independencia de Guayaquil</t>
  </si>
  <si>
    <t>Fases 1 a 3: necesidad, requisitos y análisis</t>
  </si>
  <si>
    <t>Matriz SDLC (parte 1)</t>
  </si>
  <si>
    <t>Matriz en el borrador del Entregable 1</t>
  </si>
  <si>
    <t>Fases 7 y 8 y diagrama visual del SDLC</t>
  </si>
  <si>
    <t>Diagrama del SDLC</t>
  </si>
  <si>
    <t>Imagen del diagrama en el Drive</t>
  </si>
  <si>
    <t>Recolección de los documentos reales del colegio: PUD, hojas de calificaciones, comportamiento y valoración de logros</t>
  </si>
  <si>
    <t>Inventario de documentos del cliente</t>
  </si>
  <si>
    <t>Requisitos funcionales (SRS v0.1)</t>
  </si>
  <si>
    <t>RF-01 a RF-16; RF-17 a RF-27; RF-28 a RF-37</t>
  </si>
  <si>
    <t>Lista de documentos recibidos en el Drive</t>
  </si>
  <si>
    <t>SRS v0.1 en 02_Documentos; SRS v0.1 en 02_Documentos; SRS v0.1 en 02_Documentos</t>
  </si>
  <si>
    <t>02_Documentos/</t>
  </si>
  <si>
    <t>Sprint_01/Abner/</t>
  </si>
  <si>
    <t>Requisitos no funcionales y criterios de aceptación</t>
  </si>
  <si>
    <t>RNF de exactitud y rendimiento; RNF de seguridad; RNF de uso y criterios de aceptación</t>
  </si>
  <si>
    <t>Validación del prototipo con el cliente</t>
  </si>
  <si>
    <t>Prototipo presentado; Lista de observaciones; Prototipo v2</t>
  </si>
  <si>
    <t>Capturas o grabación de la reunión; Documento de observaciones en el Drive; Capturas del prototipo v2 en el Drive</t>
  </si>
  <si>
    <t>A quién afecta y consecuencias de no resolverlo</t>
  </si>
  <si>
    <t>Afectados y consecuencias</t>
  </si>
  <si>
    <t>Taller de vulnerabilidades y riesgos</t>
  </si>
  <si>
    <t>Necesidades 1 y 2: planificación y cálculo de notas</t>
  </si>
  <si>
    <t>Tabla de vulnerabilidades; Análisis de riesgos; Política de seguridad</t>
  </si>
  <si>
    <t>Filas 1 y 2 de la tabla</t>
  </si>
  <si>
    <t>Taller en el Drive; Taller en el Drive; Taller en el Drive</t>
  </si>
  <si>
    <t>Tabla en el borrador del Entregable 1</t>
  </si>
  <si>
    <t>Necesidad 5: trabajo sin conexión y revisión conjunta de la tabla</t>
  </si>
  <si>
    <t>Fila 5 y tabla revisada</t>
  </si>
  <si>
    <t>Objetivos, alcance y fuera de alcance</t>
  </si>
  <si>
    <t>Objetivos del proyecto; Alcance; Fuera de alcance e innovación</t>
  </si>
  <si>
    <t>Borrador del Entregable 2; Borrador del Entregable 2; Borrador del Entregable 2</t>
  </si>
  <si>
    <t>Fases 4 a 6: diseño, construcción y pruebas</t>
  </si>
  <si>
    <t>Matriz SDLC (parte 2)</t>
  </si>
  <si>
    <t>Integración del documento, portada y entrega en el aula virtual</t>
  </si>
  <si>
    <t>Entregable 1 entregado</t>
  </si>
  <si>
    <t>PDF del Entregable 1 en 00_Entregables y constancia de entrega</t>
  </si>
  <si>
    <t>Stakeholders, usuarios y actores, y casos de uso</t>
  </si>
  <si>
    <t>Matriz de stakeholders; Usuarios y actores; Diagrama de casos de uso</t>
  </si>
  <si>
    <t>Tabla en el borrador del Entregable 2; Tabla en el borrador del Entregable 2; Imagen en 01_Modelos/Casos_de_uso</t>
  </si>
  <si>
    <t>Descripción de la situación actual</t>
  </si>
  <si>
    <t>Situación actual</t>
  </si>
  <si>
    <t>Borrador del Entregable 2 en el Drive</t>
  </si>
  <si>
    <t>Sprint_02/Marcelo/</t>
  </si>
  <si>
    <t>Revisión y entrega del Entregable 2 (Procesos e involucrados) – cierre del sprint 2</t>
  </si>
  <si>
    <t>Entregable 2 entregado; Entregable 2 revisado; PDF final</t>
  </si>
  <si>
    <t>PDF del Entregable 2 en 00_Entregables y constancia de entrega; Comentarios resueltos en el documento; PDF del Entregable 2 en el Drive</t>
  </si>
  <si>
    <t>Carril del docente: planificación y registro de notas</t>
  </si>
  <si>
    <t>Modelo BPMN (docente)</t>
  </si>
  <si>
    <t>Archivo de Bizagi en 01_Modelos/Procesos_BPMN</t>
  </si>
  <si>
    <t>01_Modelos/Procesos_BPMN/</t>
  </si>
  <si>
    <t>Configuración de GitHub y Product Backlog en GitHub Projects</t>
  </si>
  <si>
    <t>Formato final, diagramas y exportación a PDF</t>
  </si>
  <si>
    <t>Organización y repositorio con ramas y CODEOWNERS; Product Backlog; Ramas protegidas y secretos configurados</t>
  </si>
  <si>
    <t>PDF final</t>
  </si>
  <si>
    <t>Captura de los miembros de la organización con rol Owner, enlace al repositorio y captura de las ramas (git branch -a); Captura del tablero de GitHub Projects; Capturas de las reglas y de la lista de secretos (sin valores)</t>
  </si>
  <si>
    <t>PDF del Entregable 1 en el Drive</t>
  </si>
  <si>
    <t>Sprint_03/</t>
  </si>
  <si>
    <t>Definición de tecnologías y entrega del Entregable 3</t>
  </si>
  <si>
    <t>Informe de tecnologías y estructura de carpetas; Prototipo anonimizado; Entregable 3 entregado</t>
  </si>
  <si>
    <t>docs/arquitectura/seleccion_tecnologias.md y commit en dev; Commit en dev y salida de 'gitleaks detect' sin hallazgos; PDF del Entregable 3 en 00_Entregables y constancia de entrega</t>
  </si>
  <si>
    <t>Jerarquía del proceso: macroproceso, procesos y subprocesos</t>
  </si>
  <si>
    <t>Jerarquía de procesos</t>
  </si>
  <si>
    <t>Tabla en el borrador del Entregable 2</t>
  </si>
  <si>
    <t>Necesidades 3 y 4: valoración de logros y avisos a padres</t>
  </si>
  <si>
    <t>Diseño de arquitectura, datos y amenazas</t>
  </si>
  <si>
    <t>Sprint_02/Christian/</t>
  </si>
  <si>
    <t>Modelo de datos v1; Modelo de amenazas; Arquitectura y diseño offline</t>
  </si>
  <si>
    <t>Filas 3 y 4 de la tabla</t>
  </si>
  <si>
    <t>docs/arquitectura/modelo_datos.md con diagrama Mermaid renderizado en GitHub; docs/seguridad/modelo_amenazas.md en el repositorio; Diagramas en docs/arquitectura/ renderizados en GitHub</t>
  </si>
  <si>
    <t>Carril de la plataforma: cálculo, calendario y avisos; exportación a imagen</t>
  </si>
  <si>
    <t>Modelo BPMN completo</t>
  </si>
  <si>
    <t>Modelo.png en 01_Modelos/Procesos_BPMN</t>
  </si>
  <si>
    <t>Requisitos de usuarios, matrícula y planificación</t>
  </si>
  <si>
    <t>RF-01 a RF-16</t>
  </si>
  <si>
    <t>SRS v0.1 en 02_Documentos</t>
  </si>
  <si>
    <t>Arquitectura de 3 microservicios, contratos OpenAPI y modelo de datos por servicio</t>
  </si>
  <si>
    <t>Modelo de datos por servicio v2; Arquitectura C4 v2; Contratos OpenAPI v0 y monorepo</t>
  </si>
  <si>
    <t>Revisión de redacción y coherencia con la consigna</t>
  </si>
  <si>
    <t>Diagrama ER en docs/arquitectura/; docs/arquitectura/c4.md con los diagramas; Carpeta openapi/ y estructura en el repositorio</t>
  </si>
  <si>
    <t>Entregable 1 revisado</t>
  </si>
  <si>
    <t>Comentarios resueltos en el documento</t>
  </si>
  <si>
    <t>Exactitud, rendimiento y trazabilidad</t>
  </si>
  <si>
    <t>RNF de exactitud y rendimiento</t>
  </si>
  <si>
    <t>Esqueletos de los 3 microservicios, gateway y PWA</t>
  </si>
  <si>
    <t>ms-academico esqueleto; ms-identidad y gateway esqueleto; PWA y ms-notificaciones esqueleto</t>
  </si>
  <si>
    <t>Commit en dev y captura de Swagger; Commit en dev y /health respondiendo a través del gateway; Commit en dev y capturas de ambas aplicaciones</t>
  </si>
  <si>
    <t>Descripción de la situación propuesta</t>
  </si>
  <si>
    <t>Situación propuesta</t>
  </si>
  <si>
    <t>Demostración del prototipo al vicerrector</t>
  </si>
  <si>
    <t>Sprint_02/Abner/</t>
  </si>
  <si>
    <t>Prototipo presentado</t>
  </si>
  <si>
    <t>Capturas o grabación de la reunión</t>
  </si>
  <si>
    <t>Carril del administrador: revisión y aprobación</t>
  </si>
  <si>
    <t>Bases de datos por servicio, migraciones iniciales y mensajería</t>
  </si>
  <si>
    <t>Modelo BPMN (administrador)</t>
  </si>
  <si>
    <t>Migración inicial de db_academico; Script de inicialización y migración de db_identidad; Migración de db_notificaciones y RabbitMQ</t>
  </si>
  <si>
    <t>Vulnerabilidades potenciales V1 a V5 con impacto y costo</t>
  </si>
  <si>
    <t>Carpeta prisma/migrations en el repositorio; infra/postgres/init.sql y db/migration/V1__init.sql; Carpeta alembic/ y panel de RabbitMQ en local</t>
  </si>
  <si>
    <t>Tabla de vulnerabilidades</t>
  </si>
  <si>
    <t>Taller en el Drive</t>
  </si>
  <si>
    <t>Requisitos de comunicación y notificaciones</t>
  </si>
  <si>
    <t>01_Modelos/Seguridad/</t>
  </si>
  <si>
    <t>RF-28 a RF-37</t>
  </si>
  <si>
    <t>CI por servicio: secretos, compilación, pruebas, dependencias y SonarQube con avisos en Telegram</t>
  </si>
  <si>
    <t>ci-academico.yml y ci-notificaciones.yml; ci-identidad.yml, quality gate y notificador v0; ci-web.yml y Dockerfiles</t>
  </si>
  <si>
    <t>Ejecuciones de GitHub Actions en verde; Mensaje de Telegram y proyecto en SonarQube; Ejecución en verde e imágenes construidas en local</t>
  </si>
  <si>
    <t>Objetivo general y objetivos específicos medibles</t>
  </si>
  <si>
    <t>Objetivos del proyecto</t>
  </si>
  <si>
    <t>Borrador del Entregable 2</t>
  </si>
  <si>
    <t>Usabilidad, compatibilidad y trabajo sin conexión; criterios de aceptación</t>
  </si>
  <si>
    <t>Integración, demostración e informe del sprint 3</t>
  </si>
  <si>
    <t>RNF de uso y criterios de aceptación</t>
  </si>
  <si>
    <t>docker-compose y PR del sprint 3; Checklist de seguridad del CI; Informe del sprint 3</t>
  </si>
  <si>
    <t>PR aprobado con el CI en verde; Captura del PR bloqueado; docs/sprints/sprint03.md</t>
  </si>
  <si>
    <t>Ajustes del prototipo según las observaciones (demo v2)</t>
  </si>
  <si>
    <t>Prototipo v2</t>
  </si>
  <si>
    <t>Capturas del prototipo v2 en el Drive</t>
  </si>
  <si>
    <t>Feriado: Día de los Difuntos</t>
  </si>
  <si>
    <t>Requisitos de calificaciones, asistencia y comportamiento</t>
  </si>
  <si>
    <t>RF-17 a RF-27</t>
  </si>
  <si>
    <t>Política mínima de seguridad del proyecto</t>
  </si>
  <si>
    <t>Política de seguridad</t>
  </si>
  <si>
    <t>Identificación de stakeholders internos y externos y matriz poder/interés</t>
  </si>
  <si>
    <t>Matriz de stakeholders</t>
  </si>
  <si>
    <t>Feriado: Independencia de Cuenca</t>
  </si>
  <si>
    <t>Seguridad, privacidad y consentimiento</t>
  </si>
  <si>
    <t>RNF de seguridad</t>
  </si>
  <si>
    <t>Construcción, escaneo y publicación de imágenes en el CI</t>
  </si>
  <si>
    <t>Fuera de alcance e innovación (avisos por WhatsApp)</t>
  </si>
  <si>
    <t>Pruebas de integración v0; Paso 'Imagen' y Telegram v1; Layout y rutas de la PWA</t>
  </si>
  <si>
    <t>Fuera de alcance e innovación</t>
  </si>
  <si>
    <t>Reporte de pruebas en GitHub Actions; Imágenes en GHCR y mensaje de Telegram; Capturas en computadora y celular</t>
  </si>
  <si>
    <t>Integración del documento y entrega en el aula virtual; informe del sprint 2</t>
  </si>
  <si>
    <t>Sprint_04/</t>
  </si>
  <si>
    <t>Entregable 2 entregado</t>
  </si>
  <si>
    <t>Registro de las observaciones del cliente</t>
  </si>
  <si>
    <t>PDF del Entregable 2 en 00_Entregables y constancia de entrega</t>
  </si>
  <si>
    <t>Lista de observaciones</t>
  </si>
  <si>
    <t>Documento de observaciones en el Drive</t>
  </si>
  <si>
    <t>Autenticación y roles en ms-identidad (RF-01, RF-03)</t>
  </si>
  <si>
    <t>Guardas de autorización en ms-academico; Módulo de autenticación; Pantallas de acceso</t>
  </si>
  <si>
    <t>Pruebas 401/403 en el CI; Pruebas JUnit del inicio de sesión; Capturas en el Drive</t>
  </si>
  <si>
    <t>Análisis de 5 riesgos: amenaza, probabilidad, impacto y control</t>
  </si>
  <si>
    <t>Organización de GitHub con los tres integrantes como propietarios (owners) y repositorio público desde cero con las ramas main, test y dev, README, .gitignore, CODEOWNERS y plantilla de PR</t>
  </si>
  <si>
    <t>Análisis de riesgos</t>
  </si>
  <si>
    <t>Organización y repositorio con ramas y CODEOWNERS</t>
  </si>
  <si>
    <t>Captura de los miembros de la organización con rol Owner, enlace al repositorio y captura de las ramas (git branch -a)</t>
  </si>
  <si>
    <t>Sprint_03/Marcelo/</t>
  </si>
  <si>
    <t>Generación de usuarios, bloqueo de cuenta y auditoría de accesos (RF-02, RNF-12)</t>
  </si>
  <si>
    <t>Autorización en ms-notificaciones; Servicio de usuarios y auditoría; Sesión y menú por rol</t>
  </si>
  <si>
    <t>Pruebas pytest en el CI; Pruebas JUnit y registros de auditoría; Video corto con los cinco roles</t>
  </si>
  <si>
    <t>Alcance del sistema</t>
  </si>
  <si>
    <t>Selección de tecnologías con criterios (NestJS, PostgreSQL, Prisma, React + Vite PWA, Docker) y estructura del monorepo</t>
  </si>
  <si>
    <t>Alcance</t>
  </si>
  <si>
    <t>Informe de tecnologías y estructura de carpetas</t>
  </si>
  <si>
    <t>docs/arquitectura/seleccion_tecnologias.md y commit en dev</t>
  </si>
  <si>
    <t>Diagrama de casos de uso</t>
  </si>
  <si>
    <t>Imagen en 01_Modelos/Casos_de_uso</t>
  </si>
  <si>
    <t>01_Modelos/Casos_de_uso/</t>
  </si>
  <si>
    <t>Modelo de datos: usuarios, roles, cursos, paralelos, materias, matrículas, planificaciones, calificaciones, asistencia, comportamiento y notificaciones</t>
  </si>
  <si>
    <t>Modelo de datos v1</t>
  </si>
  <si>
    <t>Año lectivo, cursos, paralelos y materias (RF-06, RF-07)</t>
  </si>
  <si>
    <t>docs/arquitectura/modelo_datos.md con diagrama Mermaid renderizado en GitHub</t>
  </si>
  <si>
    <t>Endpoints académicos; Pruebas de validación; Pantallas de configuración académica</t>
  </si>
  <si>
    <t>01_Modelos/Datos/</t>
  </si>
  <si>
    <t>Swagger actualizado; Reporte de pruebas en el CI; Capturas en el Drive</t>
  </si>
  <si>
    <t>Formato final, figuras y exportación a PDF</t>
  </si>
  <si>
    <t>PDF del Entregable 2 en el Drive</t>
  </si>
  <si>
    <t>Gestión de docentes y asignación de materias (RF-05)</t>
  </si>
  <si>
    <t>Endpoints de docentes; Integración académico–identidad; Pantalla de docentes y prueba e2e</t>
  </si>
  <si>
    <t>Swagger y pruebas en el CI; Prueba de integración en el CI; Reporte de Playwright</t>
  </si>
  <si>
    <t>Tabla usuarios vs. actores</t>
  </si>
  <si>
    <t>Usuarios y actores</t>
  </si>
  <si>
    <t>Matrícula individual y datos del representante (RF-04, RF-29)</t>
  </si>
  <si>
    <t>Reglas de protección: main y test solo por PR con el CI en verde; dev sin force push ni borrado; bot de Telegram y SonarQube con sus secretos en GitHub Secrets</t>
  </si>
  <si>
    <t>Endpoints de matrícula; Pruebas de privacidad; Pantalla de matrícula</t>
  </si>
  <si>
    <t>Swagger y pruebas en el CI; Reporte de pruebas 403; Capturas en el Drive</t>
  </si>
  <si>
    <t>Revisión de coherencia con el Entregable 1 y la consigna</t>
  </si>
  <si>
    <t>Modelo de datos de ms-academico y ms-notificaciones con IDs UUID y campo version (base de la sincronización)</t>
  </si>
  <si>
    <t>Entregable 2 revisado</t>
  </si>
  <si>
    <t>Importación de nóminas desde Excel (RF-04)</t>
  </si>
  <si>
    <t>Ramas protegidas y secretos configurados</t>
  </si>
  <si>
    <t>Modelo de datos por servicio v2</t>
  </si>
  <si>
    <t>Importador de nóminas; Controles de carga; Pantalla de importación</t>
  </si>
  <si>
    <t>Capturas de las reglas y de la lista de secretos (sin valores)</t>
  </si>
  <si>
    <t>Diagrama ER en docs/arquitectura/</t>
  </si>
  <si>
    <t>Pruebas con archivo de ejemplo anonimizado; Pruebas con archivos inválidos; Capturas en el Drive</t>
  </si>
  <si>
    <t>Sprint_03/Christian/</t>
  </si>
  <si>
    <t>Integración, demostración e informe del sprint 4</t>
  </si>
  <si>
    <t>Módulo de usuarios y matrícula; PR del sprint 4; Informe del sprint 4</t>
  </si>
  <si>
    <t>Product Backlog en GitHub Projects: 15 historias de usuario con requisitos, prioridad de Wiegers y sprint</t>
  </si>
  <si>
    <t>Grabación de la demostración; PR aprobado y mensaje de Telegram; docs/sprints/sprint04.md</t>
  </si>
  <si>
    <t>Esqueleto de ms-academico en NestJS (TypeScript) con /health y Swagger</t>
  </si>
  <si>
    <t>Product Backlog</t>
  </si>
  <si>
    <t>Revisión final y entrega del Entregable 3 (metodología, RACI, cronograma, requisitos, Wiegers, riesgos, indicadores y prototipo)</t>
  </si>
  <si>
    <t>ms-academico esqueleto</t>
  </si>
  <si>
    <t>Captura del tablero de GitHub Projects</t>
  </si>
  <si>
    <t>Entregable 3 entregado</t>
  </si>
  <si>
    <t>Commit en dev y captura de Swagger</t>
  </si>
  <si>
    <t>Sprint_03/Abner/</t>
  </si>
  <si>
    <t>PDF del Entregable 3 en 00_Entregables y constancia de entrega</t>
  </si>
  <si>
    <t>Inventario de datos sensibles y prototipo anonimizado; revisión local con Gitleaks antes de subirlo</t>
  </si>
  <si>
    <t>Base db_academico con Prisma Migrate: año lectivo, cursos, materias y matrícula</t>
  </si>
  <si>
    <t>Prototipo anonimizado</t>
  </si>
  <si>
    <t>Migración inicial de db_academico</t>
  </si>
  <si>
    <t>Commit en dev y salida de 'gitleaks detect' sin hallazgos</t>
  </si>
  <si>
    <t>Carpeta prisma/migrations en el repositorio</t>
  </si>
  <si>
    <t>Diagrama C4 (contexto y contenedores) y diseño del trabajo sin conexión: cola local de cambios y resolución de conflictos</t>
  </si>
  <si>
    <t>Arquitectura y diseño offline</t>
  </si>
  <si>
    <t>Diagramas en docs/arquitectura/ renderizados en GitHub</t>
  </si>
  <si>
    <t>01_Modelos/Arquitectura/</t>
  </si>
  <si>
    <t>Ambiente de pruebas con despliegue continuo y pruebas e2e</t>
  </si>
  <si>
    <t>Datos de prueba; Ambiente de pruebas con CD; Prueba e2e de login</t>
  </si>
  <si>
    <t>Scripts de seed en el repositorio; URL del ambiente y ejecución del despliegue; Reporte de Playwright en el CI</t>
  </si>
  <si>
    <t>Sprint_05/</t>
  </si>
  <si>
    <t>Modelo de amenazas STRIDE a partir del taller de vulnerabilidades y riesgos: controles por rol y para los datos de menores</t>
  </si>
  <si>
    <t>Workflows de ms-academico y ms-notificaciones: Vitest, pytest, npm audit y pip-audit</t>
  </si>
  <si>
    <t>Modelo de amenazas</t>
  </si>
  <si>
    <t>ci-academico.yml y ci-notificaciones.yml</t>
  </si>
  <si>
    <t>docs/seguridad/modelo_amenazas.md en el repositorio</t>
  </si>
  <si>
    <t>Ejecuciones de GitHub Actions en verde</t>
  </si>
  <si>
    <t>Paquete compartido de cálculo de notas (packages/calculo-notas)</t>
  </si>
  <si>
    <t>Paquete de cálculo; Pruebas del cálculo; Cálculo en la interfaz</t>
  </si>
  <si>
    <t>Código en packages/calculo-notas; Reporte de Vitest con el 100 % de casos; Captura de la libreta calculando</t>
  </si>
  <si>
    <t>Registro de aportes y cálculo de notas (RF-17, RF-18)</t>
  </si>
  <si>
    <t>Endpoints de calificaciones; Pruebas de exactitud y permisos; Libreta de calificaciones</t>
  </si>
  <si>
    <t>docker-compose.yml completo (gateway, 3 servicios, PostgreSQL, RabbitMQ y PWA) y PR dev → test</t>
  </si>
  <si>
    <t>Swagger y pruebas en el CI; Reporte en el CI; Capturas en el Drive</t>
  </si>
  <si>
    <t>docker-compose y PR del sprint 3</t>
  </si>
  <si>
    <t>PR aprobado con el CI en verde</t>
  </si>
  <si>
    <t>Tareas, pruebas y proyectos (RF-19)</t>
  </si>
  <si>
    <t>Endpoints de tareas; Pruebas de tareas; Pantallas de tareas</t>
  </si>
  <si>
    <t>Swagger y pruebas en el CI; Reporte en el CI; Reporte de Playwright</t>
  </si>
  <si>
    <t>Contratos OpenAPI iniciales de los 3 servicios y estructura del monorepo (apps, services, packages, infra, tests)</t>
  </si>
  <si>
    <t>Contratos OpenAPI v0 y monorepo</t>
  </si>
  <si>
    <t>Carpeta openapi/ y estructura en el repositorio</t>
  </si>
  <si>
    <t>Nota y retroalimentación de tareas (RF-20)</t>
  </si>
  <si>
    <t>Endpoints de entregas; Pruebas de acceso a notas; Vista de tareas del estudiante</t>
  </si>
  <si>
    <t>Diagrama C4 (contexto y contenedores): gateway, 3 microservicios, RabbitMQ y PostgreSQL; modelo de datos de ms-identidad</t>
  </si>
  <si>
    <t>Arquitectura C4 v2</t>
  </si>
  <si>
    <t>docs/arquitectura/c4.md con los diagramas</t>
  </si>
  <si>
    <t>Esqueleto de la PWA (React + Vite + TypeScript) y de ms-notificaciones (FastAPI, Python)</t>
  </si>
  <si>
    <t>PWA y ms-notificaciones esqueleto</t>
  </si>
  <si>
    <t>Commit en dev y capturas de ambas aplicaciones</t>
  </si>
  <si>
    <t>Esqueleto de ms-identidad en Spring Boot (Java 21) y gateway Traefik con TLS local y rate limiting</t>
  </si>
  <si>
    <t>ms-identidad y gateway esqueleto</t>
  </si>
  <si>
    <t>Commit en dev y /health respondiendo a través del gateway</t>
  </si>
  <si>
    <t>Asistencia por materia y justificación de faltas (RF-21)</t>
  </si>
  <si>
    <t>Base db_notificaciones con Alembic y RabbitMQ en el docker-compose</t>
  </si>
  <si>
    <t>Endpoints de asistencia; Pruebas de asistencia; Pantalla de asistencia</t>
  </si>
  <si>
    <t>Swagger y pruebas en el CI; Reporte en el CI; Capturas en celular</t>
  </si>
  <si>
    <t>Migración de db_notificaciones y RabbitMQ</t>
  </si>
  <si>
    <t>Carpeta alembic/ y panel de RabbitMQ en local</t>
  </si>
  <si>
    <t>PostgreSQL con tres bases y tres usuarios con permisos separados; migración de db_identidad con Flyway</t>
  </si>
  <si>
    <t>Script de inicialización y migración de db_identidad</t>
  </si>
  <si>
    <t>infra/postgres/init.sql y db/migration/V1__init.sql</t>
  </si>
  <si>
    <t>Registro de comportamiento (RF-22)</t>
  </si>
  <si>
    <t>Endpoints de comportamiento; Pruebas de comportamiento; Pantalla de comportamiento</t>
  </si>
  <si>
    <t>Pruebas de integración de ms-academico con Testcontainers (PostgreSQL real)</t>
  </si>
  <si>
    <t>Workflow de la PWA (lint, build, Vitest) y Dockerfiles multietapa de los 4 componentes</t>
  </si>
  <si>
    <t>Pruebas de integración v0</t>
  </si>
  <si>
    <t>ci-web.yml y Dockerfiles</t>
  </si>
  <si>
    <t>Reporte de pruebas en GitHub Actions</t>
  </si>
  <si>
    <t>Parámetros configurables del colegio (RNF-10)</t>
  </si>
  <si>
    <t>Ejecución en verde e imágenes construidas en local</t>
  </si>
  <si>
    <t>Endpoints de parámetros; Pruebas de parámetros; Pantalla de parámetros</t>
  </si>
  <si>
    <t>Sprint_04/Marcelo/</t>
  </si>
  <si>
    <t>Workflow de ms-identidad (JUnit 5, JaCoCo, Dependency-Check), Gitleaks común, SonarQube multilenguaje y notificador de Telegram v0</t>
  </si>
  <si>
    <t>ci-identidad.yml, quality gate y notificador v0</t>
  </si>
  <si>
    <t>Mensaje de Telegram y proyecto en SonarQube</t>
  </si>
  <si>
    <t>Auditoría de notas (RNF-09) y prueba de carga de línea base</t>
  </si>
  <si>
    <t>Validación del JWT con JWKS y guardas por rol en ms-academico (NestJS)</t>
  </si>
  <si>
    <t>Auditoría de notas; Prueba de carga de línea base; Historial de notas</t>
  </si>
  <si>
    <t>Guardas de autorización en ms-academico</t>
  </si>
  <si>
    <t>Consulta del registro de auditoría; tests/carga/baseline.js y reporte de k6; Capturas en el Drive</t>
  </si>
  <si>
    <t>Informe del sprint 3 con indicadores I-01, I-08 e I-11 y demostración del esqueleto</t>
  </si>
  <si>
    <t>Pruebas 401/403 en el CI</t>
  </si>
  <si>
    <t>Informe del sprint 3</t>
  </si>
  <si>
    <t>Prueba negativa del CI: un secreto falso y una dependencia vulnerable bloquean el PR</t>
  </si>
  <si>
    <t>docs/sprints/sprint03.md</t>
  </si>
  <si>
    <t>Checklist de seguridad del CI</t>
  </si>
  <si>
    <t>Captura del PR bloqueado</t>
  </si>
  <si>
    <t>Integración, demostración e informe del sprint 5</t>
  </si>
  <si>
    <t>Módulo de calificaciones; PR del sprint 5; Informe del sprint 5</t>
  </si>
  <si>
    <t>Grabación de la demostración; PR aprobado y mensaje de Telegram; docs/sprints/sprint05.md</t>
  </si>
  <si>
    <t>Validación del JWT en ms-notificaciones (FastAPI) y pruebas pytest de autorización</t>
  </si>
  <si>
    <t>Autorización en ms-notificaciones</t>
  </si>
  <si>
    <t>Pruebas pytest en el CI</t>
  </si>
  <si>
    <t>Hoja de estándares DA/AA/PA/NA (RF-23)</t>
  </si>
  <si>
    <t>Servicio de estándares; Pruebas de acceso a reportes; Pantalla de estándares</t>
  </si>
  <si>
    <t>Sprint_06/</t>
  </si>
  <si>
    <t>Valoración de logros (RF-24)</t>
  </si>
  <si>
    <t>Servicio de valoración de logros; Pruebas de valoración de logros; Pantalla de valoración de logros</t>
  </si>
  <si>
    <t>Tablero del Administrador (RF-25), caché y monitoreo</t>
  </si>
  <si>
    <t>API del tablero; Caché y monitoreo; Tablero del Administrador</t>
  </si>
  <si>
    <t>Swagger y tiempos de respuesta; Paneles de Grafana en el Drive; Capturas en el Drive</t>
  </si>
  <si>
    <t>Etapa 'Imagen': build, escaneo con Trivy, SBOM y publicación en GHCR; notificador de Telegram v1 (mensaje único que se actualiza)</t>
  </si>
  <si>
    <t>Importación y exportación de notas en Excel (RF-26, RF-27)</t>
  </si>
  <si>
    <t>Paso 'Imagen' y Telegram v1</t>
  </si>
  <si>
    <t>Exportación a Excel; Pruebas de exportación segura; Importador de calificaciones</t>
  </si>
  <si>
    <t>Imágenes en GHCR y mensaje de Telegram</t>
  </si>
  <si>
    <t>Layout de la PWA: menú lateral por rol, rutas protegidas y cliente HTTP con manejo del token</t>
  </si>
  <si>
    <t>Archivo de ejemplo exportado; Reporte en el CI; Capturas en el Drive</t>
  </si>
  <si>
    <t>Endpoints de año lectivo, cursos, paralelos y materias en ms-academico</t>
  </si>
  <si>
    <t>Sprint_04/Abner/</t>
  </si>
  <si>
    <t>Layout y rutas de la PWA</t>
  </si>
  <si>
    <t>Endpoints académicos</t>
  </si>
  <si>
    <t>Capturas en computadora y celular</t>
  </si>
  <si>
    <t>Swagger actualizado</t>
  </si>
  <si>
    <t>Sprint_04/Christian/</t>
  </si>
  <si>
    <t>Tablero, horario y calendario del estudiante (RF-28, RF-37)</t>
  </si>
  <si>
    <t>API del tablero del estudiante; Prueba de carga del tablero; Tablero y horario del estudiante</t>
  </si>
  <si>
    <t>Swagger y pruebas en el CI; Reporte de k6; Capturas en celular</t>
  </si>
  <si>
    <t>Pantallas de inicio de sesión y de cambio de la clave inicial</t>
  </si>
  <si>
    <t>Endpoints de docentes y asignación docente–materia; creación de la cuenta vía ms-identidad</t>
  </si>
  <si>
    <t>Pantallas de acceso</t>
  </si>
  <si>
    <t>Endpoints de docentes</t>
  </si>
  <si>
    <t>Capturas en el Drive</t>
  </si>
  <si>
    <t>Swagger y pruebas en el CI</t>
  </si>
  <si>
    <t>Login con Spring Security, JWT RS256, endpoint JWKS, hash Argon2/BCrypt y cambio obligatorio de la clave inicial</t>
  </si>
  <si>
    <t>Módulo de autenticación</t>
  </si>
  <si>
    <t>Pruebas JUnit del inicio de sesión</t>
  </si>
  <si>
    <t>Vista del representante: notas, asistencia y calendario (RF-38)</t>
  </si>
  <si>
    <t>Endpoints del representante; Pruebas de acceso del representante; Vista del representante</t>
  </si>
  <si>
    <t>Swagger y pruebas en el CI; Reporte de pruebas 403; Capturas en celular</t>
  </si>
  <si>
    <t>Endpoints de matrícula individual en ms-academico</t>
  </si>
  <si>
    <t>Sesión, cierre por inactividad y menú según el rol</t>
  </si>
  <si>
    <t>Endpoints de matrícula</t>
  </si>
  <si>
    <t>Sesión y menú por rol</t>
  </si>
  <si>
    <t>Integración, demostración e informe del sprint 6</t>
  </si>
  <si>
    <t>Usuario generado por nombre y apellido, bloqueo tras 3 intentos fallidos y tabla de auditoría de accesos</t>
  </si>
  <si>
    <t>Reportes y tableros; PR del sprint 6; Informe del sprint 6</t>
  </si>
  <si>
    <t>Servicio de usuarios y auditoría</t>
  </si>
  <si>
    <t>Grabación de la demostración; PR aprobado y mensaje de Telegram; docs/sprints/sprint06.md</t>
  </si>
  <si>
    <t>Pruebas JUnit y registros de auditoría</t>
  </si>
  <si>
    <t>Modelo y plantilla de la planificación (RF-09)</t>
  </si>
  <si>
    <t>Endpoints de planificación; Pruebas de validación de la planificación; Formulario de planificación (parte 1)</t>
  </si>
  <si>
    <t>Importador de nóminas .xlsx con validación de cédula, duplicados y reporte de errores</t>
  </si>
  <si>
    <t>Video corto con los cinco roles</t>
  </si>
  <si>
    <t>Sprint_07/</t>
  </si>
  <si>
    <t>Importador de nóminas</t>
  </si>
  <si>
    <t>Pruebas con archivo de ejemplo anonimizado</t>
  </si>
  <si>
    <t>Tabla semanal con actividades ERCA (RF-09)</t>
  </si>
  <si>
    <t>Endpoints de semanas; Pruebas de XSS; Formulario de planificación (parte 2)</t>
  </si>
  <si>
    <t>Demostración al vicerrector del módulo de usuarios y matrícula</t>
  </si>
  <si>
    <t>Módulo de usuarios y matrícula</t>
  </si>
  <si>
    <t>Grabación de la demostración</t>
  </si>
  <si>
    <t>Estados de la planificación y envío a revisión (RF-10, RF-11)</t>
  </si>
  <si>
    <t>Máquina de estados; Pruebas de estados; Flujo de estados en la interfaz</t>
  </si>
  <si>
    <t>Diagrama de estados y pruebas; Reporte en el CI; Capturas en el Drive</t>
  </si>
  <si>
    <t>Pruebas de validación de entradas e inyección en los endpoints académicos</t>
  </si>
  <si>
    <t>Pruebas de validación</t>
  </si>
  <si>
    <t>Reporte de pruebas en el CI</t>
  </si>
  <si>
    <t>Pantallas de configuración académica</t>
  </si>
  <si>
    <t>Comunicación entre servicios con token de servicio (client credentials) entre académico e identidad</t>
  </si>
  <si>
    <t>Integración académico–identidad</t>
  </si>
  <si>
    <t>Prueba de integración en el CI</t>
  </si>
  <si>
    <t>Datos de prueba ficticios (seed) para los 3 servicios</t>
  </si>
  <si>
    <t>Datos de prueba</t>
  </si>
  <si>
    <t>Scripts de seed en el repositorio</t>
  </si>
  <si>
    <t>Pantalla de docentes y prueba e2e con Playwright</t>
  </si>
  <si>
    <t>Sprint_05/Marcelo/</t>
  </si>
  <si>
    <t>Pantalla de docentes y prueba e2e</t>
  </si>
  <si>
    <t>Reporte de Playwright</t>
  </si>
  <si>
    <t>Revisión del Administrador con observaciones por campo (RF-12, RF-13)</t>
  </si>
  <si>
    <t>Endpoints de observaciones; Prueba e2e de revisión; Bandeja de revisión</t>
  </si>
  <si>
    <t>Pruebas de privacidad: un estudiante o representante no accede a datos ajenos (RNF-04)</t>
  </si>
  <si>
    <t>Swagger y pruebas en el CI; Reporte de Playwright; Capturas en el Drive</t>
  </si>
  <si>
    <t>Pruebas de privacidad</t>
  </si>
  <si>
    <t>Reporte de pruebas 403</t>
  </si>
  <si>
    <t>Funciones de ponderación, regla de redondeo o truncado validada con el colegio y escala cualitativa A+ a E-</t>
  </si>
  <si>
    <t>Paquete de cálculo</t>
  </si>
  <si>
    <t>Código en packages/calculo-notas</t>
  </si>
  <si>
    <t>Pantalla de matrícula con número de WhatsApp y autorización del representante (se guarda en ms-notificaciones)</t>
  </si>
  <si>
    <t>Historial y documento único (RF-14, RNF-09)</t>
  </si>
  <si>
    <t>Pantalla de matrícula</t>
  </si>
  <si>
    <t>Historial de la planificación; Auditoría de planificaciones; Observaciones resaltadas</t>
  </si>
  <si>
    <t>Swagger y pruebas en el CI; Consulta del registro de auditoría; Capturas en el Drive</t>
  </si>
  <si>
    <t>Controles de carga: tamaño máximo, tipo de archivo y límite de filas</t>
  </si>
  <si>
    <t>Controles de carga</t>
  </si>
  <si>
    <t>Pruebas con archivos inválidos</t>
  </si>
  <si>
    <t>Endpoints de calificaciones que recalculan en el servidor con el mismo paquete</t>
  </si>
  <si>
    <t>Exportación a Word y PDF con el formato oficial (RF-15)</t>
  </si>
  <si>
    <t>Endpoints de calificaciones</t>
  </si>
  <si>
    <t>Exportación a Word; Exportación a PDF; Verificación del formato</t>
  </si>
  <si>
    <t>Pantalla de importación con vista previa y errores por fila</t>
  </si>
  <si>
    <t>Archivo Word de ejemplo; Archivo PDF de ejemplo; Comparación lado a lado en el Drive</t>
  </si>
  <si>
    <t>Pantalla de importación</t>
  </si>
  <si>
    <t>Calendario a partir de la planificación (RF-16)</t>
  </si>
  <si>
    <t>PR dev → test del sprint 4 con los 4 pipelines en verde</t>
  </si>
  <si>
    <t>Generador de calendario; Pruebas de acceso al calendario; Vista de calendario</t>
  </si>
  <si>
    <t>PR del sprint 4</t>
  </si>
  <si>
    <t>Endpoints de tareas con fecha de entrega</t>
  </si>
  <si>
    <t>PR aprobado y mensaje de Telegram</t>
  </si>
  <si>
    <t>Endpoints de tareas</t>
  </si>
  <si>
    <t>Informe del sprint 4 con indicadores</t>
  </si>
  <si>
    <t>Informe del sprint 4</t>
  </si>
  <si>
    <t>Integración, demostración e informe del sprint 7</t>
  </si>
  <si>
    <t>docs/sprints/sprint04.md</t>
  </si>
  <si>
    <t>PR del sprint 7; Informe de seguridad del sprint 7; Informe del sprint 7</t>
  </si>
  <si>
    <t>PR aprobado y mensaje de Telegram; docs/seguridad/sprint07.md; docs/sprints/sprint07.md</t>
  </si>
  <si>
    <t>Endpoints de entregas, nota y retroalimentación</t>
  </si>
  <si>
    <t>Endpoints de entregas</t>
  </si>
  <si>
    <t>Consentimiento y contactos del representante en ms-notificaciones</t>
  </si>
  <si>
    <t>Modelo de notificaciones; Cuenta de WhatsApp de prueba; Pantalla de consentimiento</t>
  </si>
  <si>
    <t>Migración de Alembic y pruebas pytest; Captura de la configuración (sin secretos); Capturas en el Drive</t>
  </si>
  <si>
    <t>Sprint_08/</t>
  </si>
  <si>
    <t>Adaptador de WhatsApp y plantillas de mensajes (RNF-05)</t>
  </si>
  <si>
    <t>Prueba e2e de login con Playwright contra el ambiente de pruebas</t>
  </si>
  <si>
    <t>Adaptador de WhatsApp; Plantillas de mensajes; Pantalla de contactos</t>
  </si>
  <si>
    <t>CD a la rama test: despliegue automático con docker compose en el servidor de pruebas (GitHub Environments)</t>
  </si>
  <si>
    <t>Pruebas pytest con el proveedor simulado; Plantillas en el repositorio; Capturas en el Drive</t>
  </si>
  <si>
    <t>Ambiente de pruebas con CD</t>
  </si>
  <si>
    <t>Prueba e2e de login</t>
  </si>
  <si>
    <t>URL del ambiente y ejecución del despliegue</t>
  </si>
  <si>
    <t>Endpoints de asistencia, atrasos y justificación (registrada por Inspección)</t>
  </si>
  <si>
    <t>Reporte de Playwright en el CI</t>
  </si>
  <si>
    <t>Sprint_05/Abner/</t>
  </si>
  <si>
    <t>Endpoints de asistencia</t>
  </si>
  <si>
    <t>Sprint_05/Christian/</t>
  </si>
  <si>
    <t>Eventos y avisos automáticos por promedio y faltas (RF-30, RF-31, RF-35)</t>
  </si>
  <si>
    <t>Disparadores de avisos; Cola de salida; Prueba real de aviso</t>
  </si>
  <si>
    <t>Pruebas de integración en el CI; Panel de RabbitMQ y pruebas; Captura del mensaje recibido</t>
  </si>
  <si>
    <t>Pruebas parametrizadas con los casos de la hoja oficial anonimizada (I-05)</t>
  </si>
  <si>
    <t>Uso del paquete en la PWA para mostrar el cálculo inmediato</t>
  </si>
  <si>
    <t>Pruebas del cálculo</t>
  </si>
  <si>
    <t>Endpoints de comportamiento con nueve indicadores y cálculo del cualitativo</t>
  </si>
  <si>
    <t>Cálculo en la interfaz</t>
  </si>
  <si>
    <t>Reporte de Vitest con el 100 % de casos</t>
  </si>
  <si>
    <t>Endpoints de comportamiento</t>
  </si>
  <si>
    <t>Captura de la libreta calculando</t>
  </si>
  <si>
    <t>Antiduplicados y avisos de tareas (RF-32, RF-34)</t>
  </si>
  <si>
    <t>Avisos de tareas; Pruebas de consentimiento; Antiduplicados</t>
  </si>
  <si>
    <t>Pruebas en el CI; Reporte en el CI; Reporte de pytest</t>
  </si>
  <si>
    <t>Pruebas de exactitud servidor vs. hoja oficial y de que solo el docente de la materia califica</t>
  </si>
  <si>
    <t>Feriado: Navidad</t>
  </si>
  <si>
    <t>Libreta de calificaciones con bloques, refuerzo, proyecto y examen</t>
  </si>
  <si>
    <t>Pruebas de exactitud y permisos</t>
  </si>
  <si>
    <t>Libreta de calificaciones</t>
  </si>
  <si>
    <t>Endpoints de ponderaciones, escalas y textos con recálculo de notas</t>
  </si>
  <si>
    <t>Reporte en el CI</t>
  </si>
  <si>
    <t>Endpoints de parámetros</t>
  </si>
  <si>
    <t>Pruebas de autorización de tareas y saneamiento de texto (XSS)</t>
  </si>
  <si>
    <t>Pantallas de tareas del docente y del estudiante con prueba e2e</t>
  </si>
  <si>
    <t>Pruebas de tareas</t>
  </si>
  <si>
    <t>Tabla de auditoría de notas (quién, cuándo, valor anterior y nuevo) y bloqueo al cerrar el trimestre</t>
  </si>
  <si>
    <t>Pantallas de tareas</t>
  </si>
  <si>
    <t>Auditoría de notas</t>
  </si>
  <si>
    <t>Consulta del registro de auditoría</t>
  </si>
  <si>
    <t>Historial de notificaciones (RF-33) e integración</t>
  </si>
  <si>
    <t>Endpoints de historial; Prueba de aceptación 3; Pantalla de historial</t>
  </si>
  <si>
    <t>Swagger y pruebas en el CI; Grabación de la prueba; Capturas en el Drive</t>
  </si>
  <si>
    <t>Pruebas de acceso: el estudiante solo ve sus propias notas</t>
  </si>
  <si>
    <t>Vista de tareas calificadas del estudiante</t>
  </si>
  <si>
    <t>Pruebas de acceso a notas</t>
  </si>
  <si>
    <t>Demostración del módulo de calificaciones con el vicerrector</t>
  </si>
  <si>
    <t>Vista de tareas del estudiante</t>
  </si>
  <si>
    <t>Módulo de calificaciones</t>
  </si>
  <si>
    <t>Integración, demostración e informe del sprint 8</t>
  </si>
  <si>
    <t>Informe del sprint 8; PR del sprint 8; Notificaciones por WhatsApp</t>
  </si>
  <si>
    <t>docs/sprints/sprint08.md; PR aprobado y mensaje de Telegram; Grabación de la demostración</t>
  </si>
  <si>
    <t>Almacenamiento local cifrado y service worker (RNF-01, V1)</t>
  </si>
  <si>
    <t>Endpoint de descarga de cambios; Cifrado y limpieza de datos locales; Service worker y almacenamiento local</t>
  </si>
  <si>
    <t>Swagger y pruebas en el CI; Pruebas y revisión de IndexedDB; Capturas de la PWA sin red</t>
  </si>
  <si>
    <t>Sprint_09/</t>
  </si>
  <si>
    <t>Cola de cambios sin conexión</t>
  </si>
  <si>
    <t>Endpoint de sincronización; Pruebas de seguridad de la sincronización; Cola local de cambios</t>
  </si>
  <si>
    <t>Feriado: Año Nuevo</t>
  </si>
  <si>
    <t>Pruebas de asistencia y de quién puede justificar</t>
  </si>
  <si>
    <t>Pruebas de asistencia</t>
  </si>
  <si>
    <t>Servicio de estándares con consultas SQL agregadas</t>
  </si>
  <si>
    <t>Servicio de estándares</t>
  </si>
  <si>
    <t>Pantalla de toma de asistencia rápida pensada para celular</t>
  </si>
  <si>
    <t>Pantalla de asistencia</t>
  </si>
  <si>
    <t>Sprint_06/Marcelo/</t>
  </si>
  <si>
    <t>Capturas en celular</t>
  </si>
  <si>
    <t>Pruebas del cálculo de comportamiento contra la hoja oficial</t>
  </si>
  <si>
    <t>Pruebas de comportamiento</t>
  </si>
  <si>
    <t>Servicio de valoración de logros por curso, refuerzo y promedio</t>
  </si>
  <si>
    <t>Servicio de valoración de logros</t>
  </si>
  <si>
    <t>Pantalla de comportamiento</t>
  </si>
  <si>
    <t>Sincronización y resolución de conflictos (V2)</t>
  </si>
  <si>
    <t>Resolución de conflictos; Pruebas de sincronización; Sincronización automática</t>
  </si>
  <si>
    <t>Pruebas en el CI; Reporte en el CI; Video de la sincronización</t>
  </si>
  <si>
    <t>Prueba: al cambiar una ponderación se recalculan las notas</t>
  </si>
  <si>
    <t>Pruebas de parámetros</t>
  </si>
  <si>
    <t>API del tablero con índices y vistas SQL</t>
  </si>
  <si>
    <t>Pruebas del modo sin conexión</t>
  </si>
  <si>
    <t>API del tablero</t>
  </si>
  <si>
    <t>Pantalla de parámetros del administrador</t>
  </si>
  <si>
    <t>Revisión de datos sincronizados; Prueba e2e sin conexión; Prueba en celular</t>
  </si>
  <si>
    <t>Swagger y tiempos de respuesta</t>
  </si>
  <si>
    <t>Pantalla de parámetros</t>
  </si>
  <si>
    <t>Consultas de verificación; Reporte de Playwright; Video de la prueba</t>
  </si>
  <si>
    <t>Script k6 de línea base: 100 usuarios virtuales en login y libreta de calificaciones</t>
  </si>
  <si>
    <t>Prueba de carga de línea base</t>
  </si>
  <si>
    <t>tests/carga/baseline.js y reporte de k6</t>
  </si>
  <si>
    <t>Integración del trabajo sin conexión y PWA instalable</t>
  </si>
  <si>
    <t>Módulo integrado; Ambiente actualizado; PWA instalable</t>
  </si>
  <si>
    <t>Pruebas de integración; Ejecución del despliegue; Reporte de Lighthouse</t>
  </si>
  <si>
    <t>Exportación a Excel con el formato para los sistemas oficiales</t>
  </si>
  <si>
    <t>Exportación a Excel</t>
  </si>
  <si>
    <t>Historial de cambios de una nota en la interfaz</t>
  </si>
  <si>
    <t>Archivo de ejemplo exportado</t>
  </si>
  <si>
    <t>Historial de notas</t>
  </si>
  <si>
    <t>Pruebas de carga con 400 estudiantes y 60 docentes (RNF-06)</t>
  </si>
  <si>
    <t>Optimización de la BD; Prueba de carga; Optimización de la PWA</t>
  </si>
  <si>
    <t>Comparación de tiempos antes y después; Reporte de k6 y capturas de Grafana; Reporte de Lighthouse</t>
  </si>
  <si>
    <t>PR dev → test del sprint 5</t>
  </si>
  <si>
    <t>PR del sprint 5</t>
  </si>
  <si>
    <t>API del tablero y del calendario del estudiante</t>
  </si>
  <si>
    <t>API del tablero del estudiante</t>
  </si>
  <si>
    <t>Integración, demostración e informe del sprint 9</t>
  </si>
  <si>
    <t>Informe del sprint 5 con indicadores y resultado de k6</t>
  </si>
  <si>
    <t>PR del sprint 9; Informe de rendimiento; Trabajo sin conexión</t>
  </si>
  <si>
    <t>Informe del sprint 5</t>
  </si>
  <si>
    <t>PR aprobado y mensaje de Telegram; docs/pruebas/carga.md; Grabación de la demostración</t>
  </si>
  <si>
    <t>docs/sprints/sprint05.md</t>
  </si>
  <si>
    <t>Pruebas de aceptación con los criterios del SRS</t>
  </si>
  <si>
    <t>Aceptación de cálculos; Informe de seguridad final; Aceptación de flujos</t>
  </si>
  <si>
    <t>Reporte de comparación; Reportes en docs/seguridad/; Grabación de los flujos</t>
  </si>
  <si>
    <t>Sprint_10/</t>
  </si>
  <si>
    <t>Pruebas de acceso a reportes por rol</t>
  </si>
  <si>
    <t>Pruebas de acceso a reportes</t>
  </si>
  <si>
    <t>Rol y endpoints del representante, con varios representados</t>
  </si>
  <si>
    <t>Endpoints del representante</t>
  </si>
  <si>
    <t>Sprint_06/Abner/</t>
  </si>
  <si>
    <t>Corrección de hallazgos y pruebas finales</t>
  </si>
  <si>
    <t>Correcciones del backend; Correcciones de seguridad; Correcciones del frontend</t>
  </si>
  <si>
    <t>Ejecución del CI en verde; Captura del quality gate aprobado; Capturas en los tres navegadores</t>
  </si>
  <si>
    <t>Pantalla de la hoja de estándares</t>
  </si>
  <si>
    <t>Pantalla de estándares</t>
  </si>
  <si>
    <t>Sprint_06/Christian/</t>
  </si>
  <si>
    <t>Pruebas de la valoración contra el reporte oficial</t>
  </si>
  <si>
    <t>Despliegue a producción y release v1.0.0</t>
  </si>
  <si>
    <t>Pruebas de valoración de logros</t>
  </si>
  <si>
    <t>Respaldos; Release v1.0.0; Manual de usuario</t>
  </si>
  <si>
    <t>Demostración de reportes y tableros</t>
  </si>
  <si>
    <t>Prueba de restauración documentada; Release en GitHub y ejecución del CD; docs/manual_usuario.md o PDF</t>
  </si>
  <si>
    <t>Reportes y tableros</t>
  </si>
  <si>
    <t>Pantalla de valoración de logros</t>
  </si>
  <si>
    <t>Documentación y capacitación (RNF-11)</t>
  </si>
  <si>
    <t>Documentación técnica; Manual de operación; Material de capacitación</t>
  </si>
  <si>
    <t>Documentación en el repositorio; docs/operacion.md; Enlace al video</t>
  </si>
  <si>
    <t>Redis como caché del tablero y Prometheus + Grafana con métricas de los 3 servicios</t>
  </si>
  <si>
    <t>Caché y monitoreo</t>
  </si>
  <si>
    <t>Endpoints de planificación (datos informativos, objetivos, ejes, estándar, DUA)</t>
  </si>
  <si>
    <t>Endpoints de planificación</t>
  </si>
  <si>
    <t>Paneles de Grafana en el Drive</t>
  </si>
  <si>
    <t>Sprint_07/Marcelo/</t>
  </si>
  <si>
    <t>Presentación final y entrega</t>
  </si>
  <si>
    <t>Informe final; Plataforma v1.0.0; Presentación final</t>
  </si>
  <si>
    <t>Tablero del Administrador con gráficos</t>
  </si>
  <si>
    <t>Informe en el repositorio; Grabación de la demostración; Diapositivas en el repositorio</t>
  </si>
  <si>
    <t>Tablero del Administrador</t>
  </si>
  <si>
    <t>Pruebas de exportación segura (inyección de fórmulas en celdas)</t>
  </si>
  <si>
    <t>Total horas</t>
  </si>
  <si>
    <t>Pruebas de exportación segura</t>
  </si>
  <si>
    <t>Endpoints de semanas ERCA</t>
  </si>
  <si>
    <t>Endpoints de semanas</t>
  </si>
  <si>
    <t>Importador de calificaciones con vista previa</t>
  </si>
  <si>
    <t>Importador de calificaciones</t>
  </si>
  <si>
    <t>Prueba k6 del tablero del estudiante con 400 usuarios virtuales</t>
  </si>
  <si>
    <t>Prueba de carga del tablero</t>
  </si>
  <si>
    <t>Reporte de k6</t>
  </si>
  <si>
    <t>Máquina de estados: Borrador, En revisión, Con observaciones, Aprobado</t>
  </si>
  <si>
    <t>Máquina de estados</t>
  </si>
  <si>
    <t>Diagrama de estados y pruebas</t>
  </si>
  <si>
    <t>Tablero del estudiante con alerta menor a 7 y horario semanal</t>
  </si>
  <si>
    <t>Tablero y horario del estudiante</t>
  </si>
  <si>
    <t>Endpoints de observaciones asociadas a un campo o semana</t>
  </si>
  <si>
    <t>Endpoints de observaciones</t>
  </si>
  <si>
    <t>Pruebas de acceso del representante solo a sus representados</t>
  </si>
  <si>
    <t>Pruebas de acceso del representante</t>
  </si>
  <si>
    <t>Historial de versiones de la planificación</t>
  </si>
  <si>
    <t>Historial de la planificación</t>
  </si>
  <si>
    <t>PR dev → test del sprint 6</t>
  </si>
  <si>
    <t>PR del sprint 6</t>
  </si>
  <si>
    <t>Generación del Word con plantilla del Ministerio y bloque de firmas (librería docx)</t>
  </si>
  <si>
    <t>Exportación a Word</t>
  </si>
  <si>
    <t>Vista completa del representante</t>
  </si>
  <si>
    <t>Archivo Word de ejemplo</t>
  </si>
  <si>
    <t>Vista del representante</t>
  </si>
  <si>
    <t>Pruebas de validación de la planificación</t>
  </si>
  <si>
    <t>Sprint_07/Abner/</t>
  </si>
  <si>
    <t>Generador de calendario a partir de las semanas aprobadas</t>
  </si>
  <si>
    <t>Generador de calendario</t>
  </si>
  <si>
    <t>Informe del sprint 6 con indicadores</t>
  </si>
  <si>
    <t>Pruebas de XSS en los campos de texto largo</t>
  </si>
  <si>
    <t>Informe del sprint 6</t>
  </si>
  <si>
    <t>Pruebas de XSS</t>
  </si>
  <si>
    <t>docs/sprints/sprint06.md</t>
  </si>
  <si>
    <t>PR dev → test del sprint 7</t>
  </si>
  <si>
    <t>PR del sprint 7</t>
  </si>
  <si>
    <t>Pruebas de transiciones inválidas y de bloqueo durante la revisión</t>
  </si>
  <si>
    <t>Formulario de planificación (parte 1)</t>
  </si>
  <si>
    <t>Pruebas de estados</t>
  </si>
  <si>
    <t>Sprint_07/Christian/</t>
  </si>
  <si>
    <t>Formulario de planificación (parte 2) con guardado automático de borrador</t>
  </si>
  <si>
    <t>Formulario de planificación (parte 2)</t>
  </si>
  <si>
    <t>Prueba e2e completa de revisión y devolución</t>
  </si>
  <si>
    <t>Modelo de contactos, consentimiento y notificaciones en db_notificaciones (FastAPI + SQLAlchemy)</t>
  </si>
  <si>
    <t>Flujo de estados en la interfaz</t>
  </si>
  <si>
    <t>Prueba e2e de revisión</t>
  </si>
  <si>
    <t>Modelo de notificaciones</t>
  </si>
  <si>
    <t>Migración de Alembic y pruebas pytest</t>
  </si>
  <si>
    <t>Sprint_08/Marcelo/</t>
  </si>
  <si>
    <t>Auditoría de cambios en planificaciones aprobadas</t>
  </si>
  <si>
    <t>Adaptador con interfaz común y proveedor simulado para pruebas</t>
  </si>
  <si>
    <t>Auditoría de planificaciones</t>
  </si>
  <si>
    <t>Adaptador de WhatsApp</t>
  </si>
  <si>
    <t>Pruebas pytest con el proveedor simulado</t>
  </si>
  <si>
    <t>Servicio Gotenberg en el docker-compose para convertir el Word a PDF</t>
  </si>
  <si>
    <t>Exportación a PDF</t>
  </si>
  <si>
    <t>Outbox en ms-academico que publica nota.registrada y falta.registrada en RabbitMQ</t>
  </si>
  <si>
    <t>Archivo PDF de ejemplo</t>
  </si>
  <si>
    <t>Disparadores de avisos</t>
  </si>
  <si>
    <t>Pruebas de integración en el CI</t>
  </si>
  <si>
    <t>Pruebas de acceso al calendario por rol</t>
  </si>
  <si>
    <t>Bandeja de revisión y resaltado del campo observado</t>
  </si>
  <si>
    <t>Pruebas de acceso al calendario</t>
  </si>
  <si>
    <t>Bandeja de revisión</t>
  </si>
  <si>
    <t>Avisos de tareas próximas a vencer con tarea programada</t>
  </si>
  <si>
    <t>Avisos de tareas</t>
  </si>
  <si>
    <t>Pruebas en el CI</t>
  </si>
  <si>
    <t>Informe de seguridad del sprint 7 (SonarQube, Trivy y ZAP)</t>
  </si>
  <si>
    <t>Informe de seguridad del sprint 7</t>
  </si>
  <si>
    <t>Observaciones resaltadas e historial en la interfaz</t>
  </si>
  <si>
    <t>docs/seguridad/sprint07.md</t>
  </si>
  <si>
    <t>Observaciones resaltadas</t>
  </si>
  <si>
    <t>Botones de exportación y verificación del formato contra la plantilla oficial</t>
  </si>
  <si>
    <t>Verificación del formato</t>
  </si>
  <si>
    <t>Comparación lado a lado en el Drive</t>
  </si>
  <si>
    <t>Vista de calendario del docente y del estudiante</t>
  </si>
  <si>
    <t>Vista de calendario</t>
  </si>
  <si>
    <t>Cuenta de prueba de WhatsApp Cloud API y secretos en GitHub</t>
  </si>
  <si>
    <t>Cuenta de WhatsApp de prueba</t>
  </si>
  <si>
    <t>Endpoints de historial y estado de entrega (webhook de WhatsApp)</t>
  </si>
  <si>
    <t>Captura de la configuración (sin secretos)</t>
  </si>
  <si>
    <t>Endpoints de historial</t>
  </si>
  <si>
    <t>Sprint_08/Abner/</t>
  </si>
  <si>
    <t>Informe del sprint 7 y demostración de la planificación</t>
  </si>
  <si>
    <t>Informe del sprint 7</t>
  </si>
  <si>
    <t>docs/sprints/sprint07.md</t>
  </si>
  <si>
    <t>Plantillas sin datos sensibles y verificación del número</t>
  </si>
  <si>
    <t>Plantillas de mensajes</t>
  </si>
  <si>
    <t>Plantillas en el repositorio</t>
  </si>
  <si>
    <t>Informe del sprint 8 con indicadores</t>
  </si>
  <si>
    <t>Informe del sprint 8</t>
  </si>
  <si>
    <t>docs/sprints/sprint08.md</t>
  </si>
  <si>
    <t>Consumidor en ms-notificaciones con reintentos y cola de mensajes fallidos (DLQ)</t>
  </si>
  <si>
    <t>Cola de salida</t>
  </si>
  <si>
    <t>Panel de RabbitMQ y pruebas</t>
  </si>
  <si>
    <t>Endpoint /sync/pull incremental por versión en ms-academico</t>
  </si>
  <si>
    <t>Endpoint de descarga de cambios</t>
  </si>
  <si>
    <t>Sprint_09/Marcelo/</t>
  </si>
  <si>
    <t>Pruebas de consentimiento: no se envía a números sin autorización</t>
  </si>
  <si>
    <t>Pruebas de consentimiento</t>
  </si>
  <si>
    <t>Endpoint /sync/push idempotente por UUID</t>
  </si>
  <si>
    <t>Endpoint de sincronización</t>
  </si>
  <si>
    <t>Pantalla de consentimiento y baja del representante</t>
  </si>
  <si>
    <t>Pantalla de consentimiento</t>
  </si>
  <si>
    <t>Sprint_08/Christian/</t>
  </si>
  <si>
    <t>Pantalla de contactos del representante</t>
  </si>
  <si>
    <t>Pantalla de contactos</t>
  </si>
  <si>
    <t>Prueba real de aviso con el número de prueba</t>
  </si>
  <si>
    <t>Prueba real de aviso</t>
  </si>
  <si>
    <t>Captura del mensaje recibido</t>
  </si>
  <si>
    <t>Prueba de aceptación 3: aviso al representante de punta a punta</t>
  </si>
  <si>
    <t>Prueba de aceptación 3</t>
  </si>
  <si>
    <t>Grabación de la prueba</t>
  </si>
  <si>
    <t>Resolución por campo con versiones y registro de conflictos</t>
  </si>
  <si>
    <t>Resolución de conflictos</t>
  </si>
  <si>
    <t>Clave de idempotencia por estudiante, materia, motivo y día, con pruebas pytest</t>
  </si>
  <si>
    <t>Antiduplicados</t>
  </si>
  <si>
    <t>PR dev → test del sprint 8</t>
  </si>
  <si>
    <t>Reporte de pytest</t>
  </si>
  <si>
    <t>PR del sprint 8</t>
  </si>
  <si>
    <t>Revisión de la integridad de los datos después de sincronizar</t>
  </si>
  <si>
    <t>Revisión de datos sincronizados</t>
  </si>
  <si>
    <t>Consultas de verificación</t>
  </si>
  <si>
    <t>Cifrado local con WebCrypto (AES-GCM) y borrado al cerrar sesión</t>
  </si>
  <si>
    <t>Cifrado y limpieza de datos locales</t>
  </si>
  <si>
    <t>Pruebas y revisión de IndexedDB</t>
  </si>
  <si>
    <t>Sprint_09/Abner/</t>
  </si>
  <si>
    <t>Avisos en cola que se envían al sincronizar (RF-35)</t>
  </si>
  <si>
    <t>Módulo integrado</t>
  </si>
  <si>
    <t>Pruebas de integración</t>
  </si>
  <si>
    <t>Pruebas de seguridad del endpoint de sincronización</t>
  </si>
  <si>
    <t>Pruebas de seguridad de la sincronización</t>
  </si>
  <si>
    <t>Optimización de la BD: índices, EXPLAIN ANALYZE y pool de conexiones</t>
  </si>
  <si>
    <t>Optimización de la BD</t>
  </si>
  <si>
    <t>Comparación de tiempos antes y después</t>
  </si>
  <si>
    <t>Pantalla de historial de notificaciones</t>
  </si>
  <si>
    <t>PR dev → test del sprint 9</t>
  </si>
  <si>
    <t>Pantalla de historial</t>
  </si>
  <si>
    <t>PR del sprint 9</t>
  </si>
  <si>
    <t>Demostración de las notificaciones por WhatsApp</t>
  </si>
  <si>
    <t>Notificaciones por WhatsApp</t>
  </si>
  <si>
    <t>Pruebas de conflictos: dos docentes editan el mismo registro</t>
  </si>
  <si>
    <t>Pruebas de sincronización</t>
  </si>
  <si>
    <t>Service worker con Workbox y base local con Dexie (IndexedDB)</t>
  </si>
  <si>
    <t>Service worker y almacenamiento local</t>
  </si>
  <si>
    <t>Capturas de la PWA sin red</t>
  </si>
  <si>
    <t>Prueba e2e sin conexión con Playwright (red desconectada)</t>
  </si>
  <si>
    <t>Sprint_09/Christian/</t>
  </si>
  <si>
    <t>Criterio 2: notas del 9no EGB 'A' idénticas a la hoja oficial</t>
  </si>
  <si>
    <t>Prueba e2e sin conexión</t>
  </si>
  <si>
    <t>Aceptación de cálculos</t>
  </si>
  <si>
    <t>Reporte de comparación</t>
  </si>
  <si>
    <t>Sprint_10/Marcelo/</t>
  </si>
  <si>
    <t>Cola local de cambios e indicador de conexión</t>
  </si>
  <si>
    <t>Cola local de cambios</t>
  </si>
  <si>
    <t>Ambiente de pruebas actualizado con todos los servicios</t>
  </si>
  <si>
    <t>Corrección de errores del backend (Java, TypeScript y Python)</t>
  </si>
  <si>
    <t>Ambiente actualizado</t>
  </si>
  <si>
    <t>Correcciones del backend</t>
  </si>
  <si>
    <t>Ejecución del CI en verde</t>
  </si>
  <si>
    <t>Respaldo automático de las 3 bases (pg_dump) y prueba de restauración (RNF-08)</t>
  </si>
  <si>
    <t>Respaldos</t>
  </si>
  <si>
    <t>Prueba de restauración documentada</t>
  </si>
  <si>
    <t>Ejecución del despliegue</t>
  </si>
  <si>
    <t>Documentación técnica y contratos OpenAPI publicados</t>
  </si>
  <si>
    <t>Documentación técnica</t>
  </si>
  <si>
    <t>Documentación en el repositorio</t>
  </si>
  <si>
    <t>Informe final del proyecto</t>
  </si>
  <si>
    <t>Informe final</t>
  </si>
  <si>
    <t>Informe en el repositorio</t>
  </si>
  <si>
    <t>Escenarios k6 de carga, pico, estrés y resistencia con paneles de Grafana</t>
  </si>
  <si>
    <t>Prueba de carga</t>
  </si>
  <si>
    <t>Reporte de k6 y capturas de Grafana</t>
  </si>
  <si>
    <t>Sincronización automática al recuperar la conexión y aviso de conflicto</t>
  </si>
  <si>
    <t>Sincronización automática</t>
  </si>
  <si>
    <t>Video de la sincronización</t>
  </si>
  <si>
    <t>Prueba en celular en modo avión</t>
  </si>
  <si>
    <t>Prueba en celular</t>
  </si>
  <si>
    <t>Video de la prueba</t>
  </si>
  <si>
    <t>PWA instalable (manifest e iconos) y auditoría con Lighthouse</t>
  </si>
  <si>
    <t>PWA instalable</t>
  </si>
  <si>
    <t>Reporte de Lighthouse</t>
  </si>
  <si>
    <t>Informe de rendimiento: punto de quiebre y capacidad</t>
  </si>
  <si>
    <t>Informe de rendimiento</t>
  </si>
  <si>
    <t>Optimización de la PWA: caché y tamaño del bundle</t>
  </si>
  <si>
    <t>docs/pruebas/carga.md</t>
  </si>
  <si>
    <t>Optimización de la PWA</t>
  </si>
  <si>
    <t>Demostración del trabajo sin conexión</t>
  </si>
  <si>
    <t>Trabajo sin conexión</t>
  </si>
  <si>
    <t>Aceptación de flujos en Chrome, Edge, Firefox y celular</t>
  </si>
  <si>
    <t>Informe de seguridad final: SonarQube, Trivy, Gitleaks y OWASP ZAP</t>
  </si>
  <si>
    <t>Aceptación de flujos</t>
  </si>
  <si>
    <t>Grabación de los flujos</t>
  </si>
  <si>
    <t>Informe de seguridad final</t>
  </si>
  <si>
    <t>Sprint_10/Christian/</t>
  </si>
  <si>
    <t>Reportes en docs/seguridad/</t>
  </si>
  <si>
    <t>Sprint_10/Abner/</t>
  </si>
  <si>
    <t>Corrección de errores del frontend</t>
  </si>
  <si>
    <t>Correcciones del frontend</t>
  </si>
  <si>
    <t>Capturas en los tres navegadores</t>
  </si>
  <si>
    <t>Corrección de hallazgos de seguridad</t>
  </si>
  <si>
    <t>Correcciones de seguridad</t>
  </si>
  <si>
    <t>Captura del quality gate aprobado</t>
  </si>
  <si>
    <t>Manual de usuario por rol</t>
  </si>
  <si>
    <t>Manual de usuario</t>
  </si>
  <si>
    <t>docs/manual_usuario.md o PDF</t>
  </si>
  <si>
    <t>Material de capacitación y video para docentes</t>
  </si>
  <si>
    <t>Material de capacitación</t>
  </si>
  <si>
    <t>Enlace al video</t>
  </si>
  <si>
    <t>Release v1.0.0 con aprobación manual en main y despliegue a producción</t>
  </si>
  <si>
    <t>Release v1.0.0</t>
  </si>
  <si>
    <t>Release en GitHub y ejecución del CD</t>
  </si>
  <si>
    <t>Presentación final</t>
  </si>
  <si>
    <t>Diapositivas en el repositorio</t>
  </si>
  <si>
    <t>Manual de operación: despliegue, respaldos y monitoreo</t>
  </si>
  <si>
    <t>Manual de operación</t>
  </si>
  <si>
    <t>docs/operacion.md</t>
  </si>
  <si>
    <t>Plataforma v1.0.0 en producción</t>
  </si>
  <si>
    <t>Plataforma v1.0.0</t>
  </si>
  <si>
    <t>Sprint</t>
  </si>
  <si>
    <t>Inicio</t>
  </si>
  <si>
    <t>Fin (demostración)</t>
  </si>
  <si>
    <t>Objetivo</t>
  </si>
  <si>
    <t>Hito verificable</t>
  </si>
  <si>
    <t>Tecnologías principales</t>
  </si>
  <si>
    <t>Sprint 1</t>
  </si>
  <si>
    <t>Concepción del proyecto y propuesta del SI</t>
  </si>
  <si>
    <t>Tema definido (30/09) y Entregable 1 (Propuesta de SI) entregado el 06/10</t>
  </si>
  <si>
    <t>Documentación (Entregable 1)</t>
  </si>
  <si>
    <t>Sprint 2</t>
  </si>
  <si>
    <t>Procesos, requisitos y análisis</t>
  </si>
  <si>
    <t>SRS, BPMN, casos de uso y taller de riesgos; Entregable 2 entregado el 20/10</t>
  </si>
  <si>
    <t>Bizagi, PlantUML (Entregable 2)</t>
  </si>
  <si>
    <t>Sprint 3</t>
  </si>
  <si>
    <t>Planificación, arquitectura de microservicios y CI/CD básico</t>
  </si>
  <si>
    <t>Product Backlog y ramas protegidas (21/10); Entregable 3 (22/10); arquitectura C4 con 3 microservicios (26/10); esqueletos Java, TypeScript y Python con sus bases de datos; CI por servicio con avisos en Telegram y esqueleto unido a test</t>
  </si>
  <si>
    <t>Spring Boot, NestJS, FastAPI, React, PostgreSQL, RabbitMQ, Traefik, GitHub Actions</t>
  </si>
  <si>
    <t>Sprint 4</t>
  </si>
  <si>
    <t>Imágenes en el CI, autenticación, usuarios y matrícula</t>
  </si>
  <si>
    <t>Imágenes escaneadas en GHCR; inicio de sesión con JWT en ms-identidad validado por los otros servicios; gestión académica y matrícula individual y por Excel (RF-01 a RF-07, RF-29)</t>
  </si>
  <si>
    <t>Spring Security, JWT/JWKS, Trivy, Playwright, Testcontainers</t>
  </si>
  <si>
    <t>Sprint 5</t>
  </si>
  <si>
    <t>Ambiente de pruebas con CD y calificaciones</t>
  </si>
  <si>
    <t>Despliegue automático a test; notas idénticas a la hoja oficial con el paquete compartido; tareas, asistencia, comportamiento, parámetros y auditoría (RF-17 a RF-22, RNF-09, RNF-10); prueba de carga de línea base con k6</t>
  </si>
  <si>
    <t>NestJS, Prisma, Vitest, k6, Docker Compose</t>
  </si>
  <si>
    <t>Sprint 6</t>
  </si>
  <si>
    <t>Reportes, tableros, caché, monitoreo y vista del representante</t>
  </si>
  <si>
    <t>Estándares, valoración de logros, tablero del administrador, Excel, tablero del estudiante y vista del representante (RF-23 a RF-28, RF-37, RF-38); Redis, Prometheus y Grafana</t>
  </si>
  <si>
    <t>PostgreSQL (vistas e índices), Redis, Prometheus, Grafana</t>
  </si>
  <si>
    <t>Sprint 7</t>
  </si>
  <si>
    <t>Planificación curricular con revisión</t>
  </si>
  <si>
    <t>Planificación con estados, observaciones por campo, historial, Word/PDF con formato oficial y calendario (RF-09 a RF-16)</t>
  </si>
  <si>
    <t>NestJS, librería docx, Gotenberg, Playwright</t>
  </si>
  <si>
    <t>Sprint 8</t>
  </si>
  <si>
    <t>Notificaciones por WhatsApp en ms-notificaciones</t>
  </si>
  <si>
    <t>Aviso real al representante por eventos de RabbitMQ (outbox), con consentimiento, antiduplicados e historial (RF-29 a RF-35)</t>
  </si>
  <si>
    <t>FastAPI, SQLAlchemy, Alembic, RabbitMQ, WhatsApp Cloud API, pytest</t>
  </si>
  <si>
    <t>Sprint 9</t>
  </si>
  <si>
    <t>Trabajo sin conexión y rendimiento</t>
  </si>
  <si>
    <t>Registro sin internet con cifrado local y sincronización por campo; PWA instalable; prueba de carga con 400 estudiantes y 60 docentes con punto de quiebre documentado (RNF-01, RNF-06)</t>
  </si>
  <si>
    <t>Workbox, Dexie (IndexedDB), WebCrypto, k6, Grafana, Lighthouse</t>
  </si>
  <si>
    <t>Sprint 10</t>
  </si>
  <si>
    <t>Aceptación, despliegue y entrega</t>
  </si>
  <si>
    <t>Criterios de aceptación cumplidos, informe de seguridad final, respaldos probados y versión v1.0.0 publicada en producción</t>
  </si>
  <si>
    <t>GitHub Releases, GitHub Environments, OWASP ZAP, pg_dump</t>
  </si>
  <si>
    <t>Evidencias:</t>
  </si>
  <si>
    <t>Carpeta compartida en Google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</si>
</sst>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mbria"/>
    </font>
    <font>
      <b/>
      <sz val="12.0"/>
      <color theme="1"/>
      <name val="Cambria"/>
    </font>
    <font>
      <b/>
      <u/>
      <sz val="11.0"/>
      <color rgb="FF0563C1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4" fontId="1" numFmtId="164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PAxr01a9tsbq0SyloXssG4I0kouboWI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PAxr01a9tsbq0SyloXssG4I0kouboWI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PAxr01a9tsbq0SyloXssG4I0kouboWI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PAxr01a9tsbq0SyloXssG4I0kouboWI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.0"/>
    <col customWidth="1" min="2" max="2" width="10.57"/>
    <col customWidth="1" min="3" max="3" width="10.0"/>
    <col customWidth="1" min="4" max="4" width="6.57"/>
    <col customWidth="1" min="5" max="5" width="50.0"/>
    <col customWidth="1" min="6" max="6" width="55.0"/>
    <col customWidth="1" min="7" max="7" width="60.0"/>
    <col customWidth="1" min="8" max="8" width="24.0"/>
    <col customWidth="1" min="9" max="26" width="8.71"/>
  </cols>
  <sheetData>
    <row r="1" ht="15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27.75" customHeight="1">
      <c r="A2" s="1"/>
      <c r="B2" s="4">
        <v>46295.0</v>
      </c>
      <c r="C2" s="5" t="str">
        <f t="shared" ref="C2:C109" si="1">CHOOSE(WEEKDAY(B2,2),"lunes","martes","miércoles","jueves","viernes","sábado","domingo")</f>
        <v>miércoles</v>
      </c>
      <c r="D2" s="5">
        <v>12.0</v>
      </c>
      <c r="E2" s="6" t="s">
        <v>11</v>
      </c>
      <c r="F2" s="6" t="s">
        <v>12</v>
      </c>
      <c r="G2" s="6" t="s">
        <v>13</v>
      </c>
      <c r="H2" s="6" t="s">
        <v>14</v>
      </c>
    </row>
    <row r="3" ht="27.75" customHeight="1">
      <c r="A3" s="1"/>
      <c r="B3" s="4">
        <v>46296.0</v>
      </c>
      <c r="C3" s="5" t="str">
        <f t="shared" si="1"/>
        <v>jueves</v>
      </c>
      <c r="D3" s="5">
        <v>12.0</v>
      </c>
      <c r="E3" s="6" t="s">
        <v>15</v>
      </c>
      <c r="F3" s="6" t="s">
        <v>16</v>
      </c>
      <c r="G3" s="6" t="s">
        <v>17</v>
      </c>
      <c r="H3" s="6" t="s">
        <v>14</v>
      </c>
    </row>
    <row r="4" ht="27.75" customHeight="1">
      <c r="A4" s="1"/>
      <c r="B4" s="4">
        <v>46297.0</v>
      </c>
      <c r="C4" s="5" t="str">
        <f t="shared" si="1"/>
        <v>viernes</v>
      </c>
      <c r="D4" s="5">
        <v>12.0</v>
      </c>
      <c r="E4" s="6" t="s">
        <v>18</v>
      </c>
      <c r="F4" s="6" t="s">
        <v>19</v>
      </c>
      <c r="G4" s="6" t="s">
        <v>20</v>
      </c>
      <c r="H4" s="6" t="s">
        <v>14</v>
      </c>
    </row>
    <row r="5" ht="15.0" customHeight="1">
      <c r="A5" s="1"/>
      <c r="B5" s="8">
        <v>46298.0</v>
      </c>
      <c r="C5" s="9" t="str">
        <f t="shared" si="1"/>
        <v>sábado</v>
      </c>
      <c r="D5" s="9">
        <v>0.0</v>
      </c>
      <c r="E5" s="10"/>
      <c r="F5" s="10"/>
      <c r="G5" s="10"/>
      <c r="H5" s="10"/>
    </row>
    <row r="6" ht="15.0" customHeight="1">
      <c r="A6" s="1"/>
      <c r="B6" s="8">
        <v>46299.0</v>
      </c>
      <c r="C6" s="9" t="str">
        <f t="shared" si="1"/>
        <v>domingo</v>
      </c>
      <c r="D6" s="9">
        <v>0.0</v>
      </c>
      <c r="E6" s="10"/>
      <c r="F6" s="10"/>
      <c r="G6" s="10"/>
      <c r="H6" s="10"/>
    </row>
    <row r="7" ht="27.75" customHeight="1">
      <c r="A7" s="1"/>
      <c r="B7" s="4">
        <v>46300.0</v>
      </c>
      <c r="C7" s="5" t="str">
        <f t="shared" si="1"/>
        <v>lunes</v>
      </c>
      <c r="D7" s="5">
        <v>12.0</v>
      </c>
      <c r="E7" s="6" t="s">
        <v>22</v>
      </c>
      <c r="F7" s="6" t="s">
        <v>23</v>
      </c>
      <c r="G7" s="6" t="s">
        <v>24</v>
      </c>
      <c r="H7" s="6" t="s">
        <v>14</v>
      </c>
    </row>
    <row r="8" ht="41.25" customHeight="1">
      <c r="A8" s="1"/>
      <c r="B8" s="11">
        <v>46301.0</v>
      </c>
      <c r="C8" s="12" t="str">
        <f t="shared" si="1"/>
        <v>martes</v>
      </c>
      <c r="D8" s="12">
        <v>12.0</v>
      </c>
      <c r="E8" s="13" t="s">
        <v>25</v>
      </c>
      <c r="F8" s="13" t="s">
        <v>26</v>
      </c>
      <c r="G8" s="13" t="s">
        <v>27</v>
      </c>
      <c r="H8" s="13" t="s">
        <v>28</v>
      </c>
    </row>
    <row r="9" ht="27.75" customHeight="1">
      <c r="A9" s="1"/>
      <c r="B9" s="4">
        <v>46302.0</v>
      </c>
      <c r="C9" s="5" t="str">
        <f t="shared" si="1"/>
        <v>miércoles</v>
      </c>
      <c r="D9" s="5">
        <v>12.0</v>
      </c>
      <c r="E9" s="6" t="s">
        <v>33</v>
      </c>
      <c r="F9" s="6" t="s">
        <v>35</v>
      </c>
      <c r="G9" s="6" t="s">
        <v>37</v>
      </c>
      <c r="H9" s="6" t="s">
        <v>40</v>
      </c>
    </row>
    <row r="10" ht="41.25" customHeight="1">
      <c r="A10" s="1"/>
      <c r="B10" s="4">
        <v>46303.0</v>
      </c>
      <c r="C10" s="5" t="str">
        <f t="shared" si="1"/>
        <v>jueves</v>
      </c>
      <c r="D10" s="5">
        <v>12.0</v>
      </c>
      <c r="E10" s="6" t="s">
        <v>41</v>
      </c>
      <c r="F10" s="6" t="s">
        <v>42</v>
      </c>
      <c r="G10" s="6" t="s">
        <v>44</v>
      </c>
      <c r="H10" s="6" t="s">
        <v>47</v>
      </c>
    </row>
    <row r="11" ht="15.0" customHeight="1">
      <c r="A11" s="1"/>
      <c r="B11" s="8">
        <v>46304.0</v>
      </c>
      <c r="C11" s="9" t="str">
        <f t="shared" si="1"/>
        <v>viernes</v>
      </c>
      <c r="D11" s="9">
        <v>0.0</v>
      </c>
      <c r="E11" s="10" t="s">
        <v>50</v>
      </c>
      <c r="F11" s="10"/>
      <c r="G11" s="10"/>
      <c r="H11" s="10"/>
    </row>
    <row r="12" ht="27.75" customHeight="1">
      <c r="A12" s="1"/>
      <c r="B12" s="8">
        <v>46305.0</v>
      </c>
      <c r="C12" s="9" t="str">
        <f t="shared" si="1"/>
        <v>sábado</v>
      </c>
      <c r="D12" s="9">
        <v>0.0</v>
      </c>
      <c r="E12" s="10"/>
      <c r="F12" s="10"/>
      <c r="G12" s="10"/>
      <c r="H12" s="10"/>
    </row>
    <row r="13" ht="27.75" customHeight="1">
      <c r="A13" s="1"/>
      <c r="B13" s="8">
        <v>46306.0</v>
      </c>
      <c r="C13" s="9" t="str">
        <f t="shared" si="1"/>
        <v>domingo</v>
      </c>
      <c r="D13" s="9">
        <v>0.0</v>
      </c>
      <c r="E13" s="10"/>
      <c r="F13" s="10"/>
      <c r="G13" s="10"/>
      <c r="H13" s="10"/>
    </row>
    <row r="14" ht="27.75" customHeight="1">
      <c r="A14" s="1"/>
      <c r="B14" s="4">
        <v>46307.0</v>
      </c>
      <c r="C14" s="5" t="str">
        <f t="shared" si="1"/>
        <v>lunes</v>
      </c>
      <c r="D14" s="5">
        <v>12.0</v>
      </c>
      <c r="E14" s="6" t="s">
        <v>59</v>
      </c>
      <c r="F14" s="6" t="s">
        <v>60</v>
      </c>
      <c r="G14" s="6" t="s">
        <v>62</v>
      </c>
      <c r="H14" s="6" t="s">
        <v>63</v>
      </c>
    </row>
    <row r="15" ht="27.75" customHeight="1">
      <c r="A15" s="1"/>
      <c r="B15" s="4">
        <v>46308.0</v>
      </c>
      <c r="C15" s="5" t="str">
        <f t="shared" si="1"/>
        <v>martes</v>
      </c>
      <c r="D15" s="5">
        <v>12.0</v>
      </c>
      <c r="E15" s="6" t="s">
        <v>65</v>
      </c>
      <c r="F15" s="6" t="s">
        <v>66</v>
      </c>
      <c r="G15" s="6" t="s">
        <v>62</v>
      </c>
      <c r="H15" s="6" t="s">
        <v>63</v>
      </c>
    </row>
    <row r="16" ht="27.75" customHeight="1">
      <c r="A16" s="1"/>
      <c r="B16" s="4">
        <v>46309.0</v>
      </c>
      <c r="C16" s="5" t="str">
        <f t="shared" si="1"/>
        <v>miércoles</v>
      </c>
      <c r="D16" s="5">
        <v>12.0</v>
      </c>
      <c r="E16" s="6" t="s">
        <v>67</v>
      </c>
      <c r="F16" s="6" t="s">
        <v>68</v>
      </c>
      <c r="G16" s="6" t="s">
        <v>69</v>
      </c>
      <c r="H16" s="6" t="s">
        <v>40</v>
      </c>
    </row>
    <row r="17" ht="27.75" customHeight="1">
      <c r="A17" s="1"/>
      <c r="B17" s="4">
        <v>46310.0</v>
      </c>
      <c r="C17" s="5" t="str">
        <f t="shared" si="1"/>
        <v>jueves</v>
      </c>
      <c r="D17" s="5">
        <v>12.0</v>
      </c>
      <c r="E17" s="6" t="s">
        <v>72</v>
      </c>
      <c r="F17" s="6" t="s">
        <v>74</v>
      </c>
      <c r="G17" s="6" t="s">
        <v>76</v>
      </c>
      <c r="H17" s="6" t="s">
        <v>47</v>
      </c>
    </row>
    <row r="18" ht="27.75" customHeight="1">
      <c r="A18" s="1"/>
      <c r="B18" s="4">
        <v>46311.0</v>
      </c>
      <c r="C18" s="5" t="str">
        <f t="shared" si="1"/>
        <v>viernes</v>
      </c>
      <c r="D18" s="5">
        <v>12.0</v>
      </c>
      <c r="E18" s="6" t="s">
        <v>80</v>
      </c>
      <c r="F18" s="6" t="s">
        <v>81</v>
      </c>
      <c r="G18" s="6" t="s">
        <v>82</v>
      </c>
      <c r="H18" s="6" t="s">
        <v>40</v>
      </c>
    </row>
    <row r="19" ht="27.75" customHeight="1">
      <c r="A19" s="1"/>
      <c r="B19" s="8">
        <v>46312.0</v>
      </c>
      <c r="C19" s="9" t="str">
        <f t="shared" si="1"/>
        <v>sábado</v>
      </c>
      <c r="D19" s="9">
        <v>0.0</v>
      </c>
      <c r="E19" s="10"/>
      <c r="F19" s="10"/>
      <c r="G19" s="10"/>
      <c r="H19" s="10"/>
    </row>
    <row r="20" ht="27.75" customHeight="1">
      <c r="A20" s="1"/>
      <c r="B20" s="8">
        <v>46313.0</v>
      </c>
      <c r="C20" s="9" t="str">
        <f t="shared" si="1"/>
        <v>domingo</v>
      </c>
      <c r="D20" s="9">
        <v>0.0</v>
      </c>
      <c r="E20" s="10"/>
      <c r="F20" s="10"/>
      <c r="G20" s="10"/>
      <c r="H20" s="10"/>
    </row>
    <row r="21" ht="27.75" customHeight="1">
      <c r="A21" s="1"/>
      <c r="B21" s="4">
        <v>46314.0</v>
      </c>
      <c r="C21" s="5" t="str">
        <f t="shared" si="1"/>
        <v>lunes</v>
      </c>
      <c r="D21" s="5">
        <v>12.0</v>
      </c>
      <c r="E21" s="6" t="s">
        <v>88</v>
      </c>
      <c r="F21" s="6" t="s">
        <v>89</v>
      </c>
      <c r="G21" s="6" t="s">
        <v>90</v>
      </c>
      <c r="H21" s="6" t="s">
        <v>40</v>
      </c>
    </row>
    <row r="22" ht="41.25" customHeight="1">
      <c r="A22" s="1"/>
      <c r="B22" s="11">
        <v>46315.0</v>
      </c>
      <c r="C22" s="12" t="str">
        <f t="shared" si="1"/>
        <v>martes</v>
      </c>
      <c r="D22" s="12">
        <v>12.0</v>
      </c>
      <c r="E22" s="13" t="s">
        <v>95</v>
      </c>
      <c r="F22" s="13" t="s">
        <v>96</v>
      </c>
      <c r="G22" s="13" t="s">
        <v>97</v>
      </c>
      <c r="H22" s="13" t="s">
        <v>28</v>
      </c>
    </row>
    <row r="23" ht="54.75" customHeight="1">
      <c r="A23" s="1"/>
      <c r="B23" s="4">
        <v>46316.0</v>
      </c>
      <c r="C23" s="5" t="str">
        <f t="shared" si="1"/>
        <v>miércoles</v>
      </c>
      <c r="D23" s="5">
        <v>12.0</v>
      </c>
      <c r="E23" s="6" t="s">
        <v>102</v>
      </c>
      <c r="F23" s="6" t="s">
        <v>104</v>
      </c>
      <c r="G23" s="6" t="s">
        <v>106</v>
      </c>
      <c r="H23" s="6" t="s">
        <v>108</v>
      </c>
    </row>
    <row r="24" ht="41.25" customHeight="1">
      <c r="A24" s="1"/>
      <c r="B24" s="4">
        <v>46317.0</v>
      </c>
      <c r="C24" s="5" t="str">
        <f t="shared" si="1"/>
        <v>jueves</v>
      </c>
      <c r="D24" s="5">
        <v>12.0</v>
      </c>
      <c r="E24" s="6" t="s">
        <v>109</v>
      </c>
      <c r="F24" s="6" t="s">
        <v>110</v>
      </c>
      <c r="G24" s="6" t="s">
        <v>111</v>
      </c>
      <c r="H24" s="6" t="s">
        <v>108</v>
      </c>
    </row>
    <row r="25" ht="41.25" customHeight="1">
      <c r="A25" s="1"/>
      <c r="B25" s="4">
        <v>46318.0</v>
      </c>
      <c r="C25" s="5" t="str">
        <f t="shared" si="1"/>
        <v>viernes</v>
      </c>
      <c r="D25" s="5">
        <v>12.0</v>
      </c>
      <c r="E25" s="6" t="s">
        <v>116</v>
      </c>
      <c r="F25" s="6" t="s">
        <v>118</v>
      </c>
      <c r="G25" s="6" t="s">
        <v>120</v>
      </c>
      <c r="H25" s="6" t="s">
        <v>47</v>
      </c>
    </row>
    <row r="26" ht="27.75" customHeight="1">
      <c r="A26" s="1"/>
      <c r="B26" s="8">
        <v>46319.0</v>
      </c>
      <c r="C26" s="9" t="str">
        <f t="shared" si="1"/>
        <v>sábado</v>
      </c>
      <c r="D26" s="9">
        <v>0.0</v>
      </c>
      <c r="E26" s="10"/>
      <c r="F26" s="10"/>
      <c r="G26" s="10"/>
      <c r="H26" s="10"/>
    </row>
    <row r="27" ht="27.75" customHeight="1">
      <c r="A27" s="1"/>
      <c r="B27" s="8">
        <v>46320.0</v>
      </c>
      <c r="C27" s="9" t="str">
        <f t="shared" si="1"/>
        <v>domingo</v>
      </c>
      <c r="D27" s="9">
        <v>0.0</v>
      </c>
      <c r="E27" s="10"/>
      <c r="F27" s="10"/>
      <c r="G27" s="10"/>
      <c r="H27" s="10"/>
    </row>
    <row r="28" ht="27.75" customHeight="1">
      <c r="A28" s="1"/>
      <c r="B28" s="4">
        <v>46321.0</v>
      </c>
      <c r="C28" s="5" t="str">
        <f t="shared" si="1"/>
        <v>lunes</v>
      </c>
      <c r="D28" s="5">
        <v>12.0</v>
      </c>
      <c r="E28" s="6" t="s">
        <v>127</v>
      </c>
      <c r="F28" s="6" t="s">
        <v>128</v>
      </c>
      <c r="G28" s="6" t="s">
        <v>130</v>
      </c>
      <c r="H28" s="6" t="s">
        <v>108</v>
      </c>
    </row>
    <row r="29" ht="41.25" customHeight="1">
      <c r="A29" s="1"/>
      <c r="B29" s="4">
        <v>46322.0</v>
      </c>
      <c r="C29" s="5" t="str">
        <f t="shared" si="1"/>
        <v>martes</v>
      </c>
      <c r="D29" s="5">
        <v>12.0</v>
      </c>
      <c r="E29" s="6" t="s">
        <v>135</v>
      </c>
      <c r="F29" s="6" t="s">
        <v>136</v>
      </c>
      <c r="G29" s="6" t="s">
        <v>137</v>
      </c>
      <c r="H29" s="6" t="s">
        <v>108</v>
      </c>
    </row>
    <row r="30" ht="41.25" customHeight="1">
      <c r="A30" s="1"/>
      <c r="B30" s="4">
        <v>46323.0</v>
      </c>
      <c r="C30" s="5" t="str">
        <f t="shared" si="1"/>
        <v>miércoles</v>
      </c>
      <c r="D30" s="5">
        <v>12.0</v>
      </c>
      <c r="E30" s="6" t="s">
        <v>145</v>
      </c>
      <c r="F30" s="6" t="s">
        <v>147</v>
      </c>
      <c r="G30" s="6" t="s">
        <v>149</v>
      </c>
      <c r="H30" s="6" t="s">
        <v>108</v>
      </c>
    </row>
    <row r="31" ht="41.25" customHeight="1">
      <c r="A31" s="1"/>
      <c r="B31" s="4">
        <v>46324.0</v>
      </c>
      <c r="C31" s="5" t="str">
        <f t="shared" si="1"/>
        <v>jueves</v>
      </c>
      <c r="D31" s="5">
        <v>12.0</v>
      </c>
      <c r="E31" s="6" t="s">
        <v>155</v>
      </c>
      <c r="F31" s="6" t="s">
        <v>156</v>
      </c>
      <c r="G31" s="6" t="s">
        <v>157</v>
      </c>
      <c r="H31" s="6" t="s">
        <v>108</v>
      </c>
    </row>
    <row r="32" ht="27.75" customHeight="1">
      <c r="A32" s="1"/>
      <c r="B32" s="11">
        <v>46325.0</v>
      </c>
      <c r="C32" s="12" t="str">
        <f t="shared" si="1"/>
        <v>viernes</v>
      </c>
      <c r="D32" s="12">
        <v>12.0</v>
      </c>
      <c r="E32" s="13" t="s">
        <v>162</v>
      </c>
      <c r="F32" s="13" t="s">
        <v>164</v>
      </c>
      <c r="G32" s="13" t="s">
        <v>165</v>
      </c>
      <c r="H32" s="13" t="s">
        <v>108</v>
      </c>
    </row>
    <row r="33" ht="27.75" customHeight="1">
      <c r="A33" s="1"/>
      <c r="B33" s="8">
        <v>46326.0</v>
      </c>
      <c r="C33" s="9" t="str">
        <f t="shared" si="1"/>
        <v>sábado</v>
      </c>
      <c r="D33" s="9">
        <v>0.0</v>
      </c>
      <c r="E33" s="10"/>
      <c r="F33" s="10"/>
      <c r="G33" s="10"/>
      <c r="H33" s="10"/>
    </row>
    <row r="34" ht="15.0" customHeight="1">
      <c r="A34" s="1"/>
      <c r="B34" s="8">
        <v>46327.0</v>
      </c>
      <c r="C34" s="9" t="str">
        <f t="shared" si="1"/>
        <v>domingo</v>
      </c>
      <c r="D34" s="9">
        <v>0.0</v>
      </c>
      <c r="E34" s="10"/>
      <c r="F34" s="10"/>
      <c r="G34" s="10"/>
      <c r="H34" s="10"/>
    </row>
    <row r="35" ht="15.0" customHeight="1">
      <c r="A35" s="1"/>
      <c r="B35" s="8">
        <v>46328.0</v>
      </c>
      <c r="C35" s="9" t="str">
        <f t="shared" si="1"/>
        <v>lunes</v>
      </c>
      <c r="D35" s="9">
        <v>0.0</v>
      </c>
      <c r="E35" s="10" t="s">
        <v>169</v>
      </c>
      <c r="F35" s="10"/>
      <c r="G35" s="10"/>
      <c r="H35" s="10"/>
    </row>
    <row r="36" ht="15.0" customHeight="1">
      <c r="A36" s="1"/>
      <c r="B36" s="8">
        <v>46329.0</v>
      </c>
      <c r="C36" s="9" t="str">
        <f t="shared" si="1"/>
        <v>martes</v>
      </c>
      <c r="D36" s="9">
        <v>0.0</v>
      </c>
      <c r="E36" s="10" t="s">
        <v>176</v>
      </c>
      <c r="F36" s="10"/>
      <c r="G36" s="10"/>
      <c r="H36" s="10"/>
    </row>
    <row r="37" ht="27.75" customHeight="1">
      <c r="A37" s="1"/>
      <c r="B37" s="4">
        <v>46330.0</v>
      </c>
      <c r="C37" s="5" t="str">
        <f t="shared" si="1"/>
        <v>miércoles</v>
      </c>
      <c r="D37" s="5">
        <v>12.0</v>
      </c>
      <c r="E37" s="6" t="s">
        <v>179</v>
      </c>
      <c r="F37" s="6" t="s">
        <v>181</v>
      </c>
      <c r="G37" s="6" t="s">
        <v>183</v>
      </c>
      <c r="H37" s="6" t="s">
        <v>185</v>
      </c>
    </row>
    <row r="38" ht="27.75" customHeight="1">
      <c r="A38" s="1"/>
      <c r="B38" s="4">
        <v>46331.0</v>
      </c>
      <c r="C38" s="5" t="str">
        <f t="shared" si="1"/>
        <v>jueves</v>
      </c>
      <c r="D38" s="5">
        <v>12.0</v>
      </c>
      <c r="E38" s="6" t="s">
        <v>191</v>
      </c>
      <c r="F38" s="6" t="s">
        <v>192</v>
      </c>
      <c r="G38" s="6" t="s">
        <v>193</v>
      </c>
      <c r="H38" s="6" t="s">
        <v>185</v>
      </c>
    </row>
    <row r="39" ht="27.75" customHeight="1">
      <c r="A39" s="1"/>
      <c r="B39" s="4">
        <v>46332.0</v>
      </c>
      <c r="C39" s="5" t="str">
        <f t="shared" si="1"/>
        <v>viernes</v>
      </c>
      <c r="D39" s="5">
        <v>12.0</v>
      </c>
      <c r="E39" s="6" t="s">
        <v>200</v>
      </c>
      <c r="F39" s="6" t="s">
        <v>201</v>
      </c>
      <c r="G39" s="6" t="s">
        <v>202</v>
      </c>
      <c r="H39" s="6" t="s">
        <v>185</v>
      </c>
    </row>
    <row r="40" ht="15.0" customHeight="1">
      <c r="A40" s="1"/>
      <c r="B40" s="8">
        <v>46333.0</v>
      </c>
      <c r="C40" s="9" t="str">
        <f t="shared" si="1"/>
        <v>sábado</v>
      </c>
      <c r="D40" s="9">
        <v>0.0</v>
      </c>
      <c r="E40" s="10"/>
      <c r="F40" s="10"/>
      <c r="G40" s="10"/>
      <c r="H40" s="10"/>
    </row>
    <row r="41" ht="15.0" customHeight="1">
      <c r="A41" s="1"/>
      <c r="B41" s="8">
        <v>46334.0</v>
      </c>
      <c r="C41" s="9" t="str">
        <f t="shared" si="1"/>
        <v>domingo</v>
      </c>
      <c r="D41" s="9">
        <v>0.0</v>
      </c>
      <c r="E41" s="10"/>
      <c r="F41" s="10"/>
      <c r="G41" s="10"/>
      <c r="H41" s="10"/>
    </row>
    <row r="42" ht="27.75" customHeight="1">
      <c r="A42" s="1"/>
      <c r="B42" s="4">
        <v>46335.0</v>
      </c>
      <c r="C42" s="5" t="str">
        <f t="shared" si="1"/>
        <v>lunes</v>
      </c>
      <c r="D42" s="5">
        <v>12.0</v>
      </c>
      <c r="E42" s="6" t="s">
        <v>213</v>
      </c>
      <c r="F42" s="6" t="s">
        <v>215</v>
      </c>
      <c r="G42" s="6" t="s">
        <v>217</v>
      </c>
      <c r="H42" s="6" t="s">
        <v>185</v>
      </c>
    </row>
    <row r="43" ht="27.75" customHeight="1">
      <c r="A43" s="1"/>
      <c r="B43" s="4">
        <v>46336.0</v>
      </c>
      <c r="C43" s="5" t="str">
        <f t="shared" si="1"/>
        <v>martes</v>
      </c>
      <c r="D43" s="5">
        <v>12.0</v>
      </c>
      <c r="E43" s="6" t="s">
        <v>220</v>
      </c>
      <c r="F43" s="6" t="s">
        <v>221</v>
      </c>
      <c r="G43" s="6" t="s">
        <v>222</v>
      </c>
      <c r="H43" s="6" t="s">
        <v>185</v>
      </c>
    </row>
    <row r="44" ht="27.75" customHeight="1">
      <c r="A44" s="1"/>
      <c r="B44" s="4">
        <v>46337.0</v>
      </c>
      <c r="C44" s="5" t="str">
        <f t="shared" si="1"/>
        <v>miércoles</v>
      </c>
      <c r="D44" s="5">
        <v>12.0</v>
      </c>
      <c r="E44" s="6" t="s">
        <v>225</v>
      </c>
      <c r="F44" s="6" t="s">
        <v>227</v>
      </c>
      <c r="G44" s="6" t="s">
        <v>228</v>
      </c>
      <c r="H44" s="6" t="s">
        <v>185</v>
      </c>
    </row>
    <row r="45" ht="27.75" customHeight="1">
      <c r="A45" s="1"/>
      <c r="B45" s="4">
        <v>46338.0</v>
      </c>
      <c r="C45" s="5" t="str">
        <f t="shared" si="1"/>
        <v>jueves</v>
      </c>
      <c r="D45" s="5">
        <v>12.0</v>
      </c>
      <c r="E45" s="6" t="s">
        <v>232</v>
      </c>
      <c r="F45" s="6" t="s">
        <v>235</v>
      </c>
      <c r="G45" s="6" t="s">
        <v>238</v>
      </c>
      <c r="H45" s="6" t="s">
        <v>185</v>
      </c>
    </row>
    <row r="46" ht="27.75" customHeight="1">
      <c r="A46" s="1"/>
      <c r="B46" s="11">
        <v>46339.0</v>
      </c>
      <c r="C46" s="12" t="str">
        <f t="shared" si="1"/>
        <v>viernes</v>
      </c>
      <c r="D46" s="12">
        <v>12.0</v>
      </c>
      <c r="E46" s="13" t="s">
        <v>240</v>
      </c>
      <c r="F46" s="13" t="s">
        <v>241</v>
      </c>
      <c r="G46" s="13" t="s">
        <v>243</v>
      </c>
      <c r="H46" s="13" t="s">
        <v>185</v>
      </c>
    </row>
    <row r="47" ht="27.75" customHeight="1">
      <c r="A47" s="1"/>
      <c r="B47" s="8">
        <v>46340.0</v>
      </c>
      <c r="C47" s="9" t="str">
        <f t="shared" si="1"/>
        <v>sábado</v>
      </c>
      <c r="D47" s="9">
        <v>0.0</v>
      </c>
      <c r="E47" s="10"/>
      <c r="F47" s="10"/>
      <c r="G47" s="10"/>
      <c r="H47" s="10"/>
    </row>
    <row r="48" ht="27.75" customHeight="1">
      <c r="A48" s="1"/>
      <c r="B48" s="8">
        <v>46341.0</v>
      </c>
      <c r="C48" s="9" t="str">
        <f t="shared" si="1"/>
        <v>domingo</v>
      </c>
      <c r="D48" s="9">
        <v>0.0</v>
      </c>
      <c r="E48" s="10"/>
      <c r="F48" s="10"/>
      <c r="G48" s="10"/>
      <c r="H48" s="10"/>
    </row>
    <row r="49" ht="27.75" customHeight="1">
      <c r="A49" s="1"/>
      <c r="B49" s="4">
        <v>46342.0</v>
      </c>
      <c r="C49" s="5" t="str">
        <f t="shared" si="1"/>
        <v>lunes</v>
      </c>
      <c r="D49" s="5">
        <v>12.0</v>
      </c>
      <c r="E49" s="6" t="s">
        <v>263</v>
      </c>
      <c r="F49" s="6" t="s">
        <v>264</v>
      </c>
      <c r="G49" s="6" t="s">
        <v>265</v>
      </c>
      <c r="H49" s="6" t="s">
        <v>266</v>
      </c>
    </row>
    <row r="50" ht="27.75" customHeight="1">
      <c r="A50" s="1"/>
      <c r="B50" s="4">
        <v>46343.0</v>
      </c>
      <c r="C50" s="5" t="str">
        <f t="shared" si="1"/>
        <v>martes</v>
      </c>
      <c r="D50" s="5">
        <v>12.0</v>
      </c>
      <c r="E50" s="6" t="s">
        <v>273</v>
      </c>
      <c r="F50" s="6" t="s">
        <v>274</v>
      </c>
      <c r="G50" s="6" t="s">
        <v>275</v>
      </c>
      <c r="H50" s="6" t="s">
        <v>266</v>
      </c>
    </row>
    <row r="51" ht="27.75" customHeight="1">
      <c r="A51" s="1"/>
      <c r="B51" s="4">
        <v>46344.0</v>
      </c>
      <c r="C51" s="5" t="str">
        <f t="shared" si="1"/>
        <v>miércoles</v>
      </c>
      <c r="D51" s="5">
        <v>12.0</v>
      </c>
      <c r="E51" s="6" t="s">
        <v>276</v>
      </c>
      <c r="F51" s="6" t="s">
        <v>277</v>
      </c>
      <c r="G51" s="6" t="s">
        <v>279</v>
      </c>
      <c r="H51" s="6" t="s">
        <v>266</v>
      </c>
    </row>
    <row r="52" ht="27.75" customHeight="1">
      <c r="A52" s="1"/>
      <c r="B52" s="4">
        <v>46345.0</v>
      </c>
      <c r="C52" s="5" t="str">
        <f t="shared" si="1"/>
        <v>jueves</v>
      </c>
      <c r="D52" s="5">
        <v>12.0</v>
      </c>
      <c r="E52" s="6" t="s">
        <v>282</v>
      </c>
      <c r="F52" s="6" t="s">
        <v>283</v>
      </c>
      <c r="G52" s="6" t="s">
        <v>284</v>
      </c>
      <c r="H52" s="6" t="s">
        <v>266</v>
      </c>
    </row>
    <row r="53" ht="27.75" customHeight="1">
      <c r="A53" s="1"/>
      <c r="B53" s="4">
        <v>46346.0</v>
      </c>
      <c r="C53" s="5" t="str">
        <f t="shared" si="1"/>
        <v>viernes</v>
      </c>
      <c r="D53" s="5">
        <v>12.0</v>
      </c>
      <c r="E53" s="6" t="s">
        <v>288</v>
      </c>
      <c r="F53" s="6" t="s">
        <v>289</v>
      </c>
      <c r="G53" s="6" t="s">
        <v>228</v>
      </c>
      <c r="H53" s="6" t="s">
        <v>266</v>
      </c>
    </row>
    <row r="54" ht="27.75" customHeight="1">
      <c r="A54" s="1"/>
      <c r="B54" s="8">
        <v>46347.0</v>
      </c>
      <c r="C54" s="9" t="str">
        <f t="shared" si="1"/>
        <v>sábado</v>
      </c>
      <c r="D54" s="9">
        <v>0.0</v>
      </c>
      <c r="E54" s="10"/>
      <c r="F54" s="10"/>
      <c r="G54" s="10"/>
      <c r="H54" s="10"/>
    </row>
    <row r="55" ht="27.75" customHeight="1">
      <c r="A55" s="1"/>
      <c r="B55" s="8">
        <v>46348.0</v>
      </c>
      <c r="C55" s="9" t="str">
        <f t="shared" si="1"/>
        <v>domingo</v>
      </c>
      <c r="D55" s="9">
        <v>0.0</v>
      </c>
      <c r="E55" s="10"/>
      <c r="F55" s="10"/>
      <c r="G55" s="10"/>
      <c r="H55" s="10"/>
    </row>
    <row r="56" ht="27.75" customHeight="1">
      <c r="A56" s="1"/>
      <c r="B56" s="4">
        <v>46349.0</v>
      </c>
      <c r="C56" s="5" t="str">
        <f t="shared" si="1"/>
        <v>lunes</v>
      </c>
      <c r="D56" s="5">
        <v>12.0</v>
      </c>
      <c r="E56" s="6" t="s">
        <v>299</v>
      </c>
      <c r="F56" s="6" t="s">
        <v>301</v>
      </c>
      <c r="G56" s="6" t="s">
        <v>302</v>
      </c>
      <c r="H56" s="6" t="s">
        <v>266</v>
      </c>
    </row>
    <row r="57" ht="27.75" customHeight="1">
      <c r="A57" s="1"/>
      <c r="B57" s="4">
        <v>46350.0</v>
      </c>
      <c r="C57" s="5" t="str">
        <f t="shared" si="1"/>
        <v>martes</v>
      </c>
      <c r="D57" s="5">
        <v>12.0</v>
      </c>
      <c r="E57" s="6" t="s">
        <v>308</v>
      </c>
      <c r="F57" s="6" t="s">
        <v>309</v>
      </c>
      <c r="G57" s="6" t="s">
        <v>279</v>
      </c>
      <c r="H57" s="6" t="s">
        <v>266</v>
      </c>
    </row>
    <row r="58" ht="27.75" customHeight="1">
      <c r="A58" s="1"/>
      <c r="B58" s="4">
        <v>46351.0</v>
      </c>
      <c r="C58" s="5" t="str">
        <f t="shared" si="1"/>
        <v>miércoles</v>
      </c>
      <c r="D58" s="5">
        <v>12.0</v>
      </c>
      <c r="E58" s="6" t="s">
        <v>315</v>
      </c>
      <c r="F58" s="6" t="s">
        <v>317</v>
      </c>
      <c r="G58" s="6" t="s">
        <v>279</v>
      </c>
      <c r="H58" s="6" t="s">
        <v>266</v>
      </c>
    </row>
    <row r="59" ht="27.75" customHeight="1">
      <c r="A59" s="1"/>
      <c r="B59" s="4">
        <v>46352.0</v>
      </c>
      <c r="C59" s="5" t="str">
        <f t="shared" si="1"/>
        <v>jueves</v>
      </c>
      <c r="D59" s="5">
        <v>12.0</v>
      </c>
      <c r="E59" s="6" t="s">
        <v>322</v>
      </c>
      <c r="F59" s="6" t="s">
        <v>324</v>
      </c>
      <c r="G59" s="6" t="s">
        <v>326</v>
      </c>
      <c r="H59" s="6" t="s">
        <v>266</v>
      </c>
    </row>
    <row r="60" ht="27.75" customHeight="1">
      <c r="A60" s="1"/>
      <c r="B60" s="11">
        <v>46353.0</v>
      </c>
      <c r="C60" s="12" t="str">
        <f t="shared" si="1"/>
        <v>viernes</v>
      </c>
      <c r="D60" s="12">
        <v>12.0</v>
      </c>
      <c r="E60" s="13" t="s">
        <v>334</v>
      </c>
      <c r="F60" s="13" t="s">
        <v>335</v>
      </c>
      <c r="G60" s="13" t="s">
        <v>336</v>
      </c>
      <c r="H60" s="13" t="s">
        <v>266</v>
      </c>
    </row>
    <row r="61" ht="27.75" customHeight="1">
      <c r="A61" s="1"/>
      <c r="B61" s="8">
        <v>46354.0</v>
      </c>
      <c r="C61" s="9" t="str">
        <f t="shared" si="1"/>
        <v>sábado</v>
      </c>
      <c r="D61" s="9">
        <v>0.0</v>
      </c>
      <c r="E61" s="10"/>
      <c r="F61" s="10"/>
      <c r="G61" s="10"/>
      <c r="H61" s="10"/>
    </row>
    <row r="62" ht="27.75" customHeight="1">
      <c r="A62" s="1"/>
      <c r="B62" s="8">
        <v>46355.0</v>
      </c>
      <c r="C62" s="9" t="str">
        <f t="shared" si="1"/>
        <v>domingo</v>
      </c>
      <c r="D62" s="9">
        <v>0.0</v>
      </c>
      <c r="E62" s="10"/>
      <c r="F62" s="10"/>
      <c r="G62" s="10"/>
      <c r="H62" s="10"/>
    </row>
    <row r="63" ht="27.75" customHeight="1">
      <c r="A63" s="1"/>
      <c r="B63" s="4">
        <v>46356.0</v>
      </c>
      <c r="C63" s="5" t="str">
        <f t="shared" si="1"/>
        <v>lunes</v>
      </c>
      <c r="D63" s="5">
        <v>12.0</v>
      </c>
      <c r="E63" s="6" t="s">
        <v>340</v>
      </c>
      <c r="F63" s="6" t="s">
        <v>341</v>
      </c>
      <c r="G63" s="6" t="s">
        <v>279</v>
      </c>
      <c r="H63" s="6" t="s">
        <v>342</v>
      </c>
    </row>
    <row r="64" ht="27.75" customHeight="1">
      <c r="A64" s="1"/>
      <c r="B64" s="4">
        <v>46357.0</v>
      </c>
      <c r="C64" s="5" t="str">
        <f t="shared" si="1"/>
        <v>martes</v>
      </c>
      <c r="D64" s="5">
        <v>12.0</v>
      </c>
      <c r="E64" s="6" t="s">
        <v>343</v>
      </c>
      <c r="F64" s="6" t="s">
        <v>344</v>
      </c>
      <c r="G64" s="6" t="s">
        <v>279</v>
      </c>
      <c r="H64" s="6" t="s">
        <v>342</v>
      </c>
    </row>
    <row r="65" ht="27.75" customHeight="1">
      <c r="A65" s="1"/>
      <c r="B65" s="4">
        <v>46358.0</v>
      </c>
      <c r="C65" s="5" t="str">
        <f t="shared" si="1"/>
        <v>miércoles</v>
      </c>
      <c r="D65" s="5">
        <v>12.0</v>
      </c>
      <c r="E65" s="6" t="s">
        <v>345</v>
      </c>
      <c r="F65" s="6" t="s">
        <v>346</v>
      </c>
      <c r="G65" s="6" t="s">
        <v>347</v>
      </c>
      <c r="H65" s="6" t="s">
        <v>342</v>
      </c>
    </row>
    <row r="66" ht="27.75" customHeight="1">
      <c r="A66" s="1"/>
      <c r="B66" s="4">
        <v>46359.0</v>
      </c>
      <c r="C66" s="5" t="str">
        <f t="shared" si="1"/>
        <v>jueves</v>
      </c>
      <c r="D66" s="5">
        <v>12.0</v>
      </c>
      <c r="E66" s="6" t="s">
        <v>349</v>
      </c>
      <c r="F66" s="6" t="s">
        <v>351</v>
      </c>
      <c r="G66" s="6" t="s">
        <v>354</v>
      </c>
      <c r="H66" s="6" t="s">
        <v>342</v>
      </c>
    </row>
    <row r="67" ht="27.75" customHeight="1">
      <c r="A67" s="1"/>
      <c r="B67" s="4">
        <v>46360.0</v>
      </c>
      <c r="C67" s="5" t="str">
        <f t="shared" si="1"/>
        <v>viernes</v>
      </c>
      <c r="D67" s="5">
        <v>12.0</v>
      </c>
      <c r="E67" s="6" t="s">
        <v>362</v>
      </c>
      <c r="F67" s="6" t="s">
        <v>363</v>
      </c>
      <c r="G67" s="6" t="s">
        <v>364</v>
      </c>
      <c r="H67" s="6" t="s">
        <v>342</v>
      </c>
    </row>
    <row r="68" ht="15.0" customHeight="1">
      <c r="A68" s="1"/>
      <c r="B68" s="8">
        <v>46361.0</v>
      </c>
      <c r="C68" s="9" t="str">
        <f t="shared" si="1"/>
        <v>sábado</v>
      </c>
      <c r="D68" s="9">
        <v>0.0</v>
      </c>
      <c r="E68" s="10"/>
      <c r="F68" s="10"/>
      <c r="G68" s="10"/>
      <c r="H68" s="10"/>
    </row>
    <row r="69" ht="15.0" customHeight="1">
      <c r="A69" s="1"/>
      <c r="B69" s="8">
        <v>46362.0</v>
      </c>
      <c r="C69" s="9" t="str">
        <f t="shared" si="1"/>
        <v>domingo</v>
      </c>
      <c r="D69" s="9">
        <v>0.0</v>
      </c>
      <c r="E69" s="10"/>
      <c r="F69" s="10"/>
      <c r="G69" s="10"/>
      <c r="H69" s="10"/>
    </row>
    <row r="70" ht="27.75" customHeight="1">
      <c r="A70" s="1"/>
      <c r="B70" s="4">
        <v>46363.0</v>
      </c>
      <c r="C70" s="5" t="str">
        <f t="shared" si="1"/>
        <v>lunes</v>
      </c>
      <c r="D70" s="5">
        <v>12.0</v>
      </c>
      <c r="E70" s="6" t="s">
        <v>374</v>
      </c>
      <c r="F70" s="6" t="s">
        <v>375</v>
      </c>
      <c r="G70" s="6" t="s">
        <v>376</v>
      </c>
      <c r="H70" s="6" t="s">
        <v>342</v>
      </c>
    </row>
    <row r="71" ht="27.75" customHeight="1">
      <c r="A71" s="1"/>
      <c r="B71" s="11">
        <v>46364.0</v>
      </c>
      <c r="C71" s="12" t="str">
        <f t="shared" si="1"/>
        <v>martes</v>
      </c>
      <c r="D71" s="12">
        <v>12.0</v>
      </c>
      <c r="E71" s="13" t="s">
        <v>381</v>
      </c>
      <c r="F71" s="13" t="s">
        <v>383</v>
      </c>
      <c r="G71" s="13" t="s">
        <v>385</v>
      </c>
      <c r="H71" s="13" t="s">
        <v>342</v>
      </c>
    </row>
    <row r="72" ht="27.75" customHeight="1">
      <c r="A72" s="1"/>
      <c r="B72" s="4">
        <v>46365.0</v>
      </c>
      <c r="C72" s="5" t="str">
        <f t="shared" si="1"/>
        <v>miércoles</v>
      </c>
      <c r="D72" s="5">
        <v>12.0</v>
      </c>
      <c r="E72" s="6" t="s">
        <v>387</v>
      </c>
      <c r="F72" s="6" t="s">
        <v>388</v>
      </c>
      <c r="G72" s="6" t="s">
        <v>279</v>
      </c>
      <c r="H72" s="6" t="s">
        <v>391</v>
      </c>
    </row>
    <row r="73" ht="27.75" customHeight="1">
      <c r="A73" s="1"/>
      <c r="B73" s="4">
        <v>46366.0</v>
      </c>
      <c r="C73" s="5" t="str">
        <f t="shared" si="1"/>
        <v>jueves</v>
      </c>
      <c r="D73" s="5">
        <v>12.0</v>
      </c>
      <c r="E73" s="6" t="s">
        <v>394</v>
      </c>
      <c r="F73" s="6" t="s">
        <v>395</v>
      </c>
      <c r="G73" s="6" t="s">
        <v>279</v>
      </c>
      <c r="H73" s="6" t="s">
        <v>391</v>
      </c>
    </row>
    <row r="74" ht="27.75" customHeight="1">
      <c r="A74" s="1"/>
      <c r="B74" s="4">
        <v>46367.0</v>
      </c>
      <c r="C74" s="5" t="str">
        <f t="shared" si="1"/>
        <v>viernes</v>
      </c>
      <c r="D74" s="5">
        <v>12.0</v>
      </c>
      <c r="E74" s="6" t="s">
        <v>399</v>
      </c>
      <c r="F74" s="6" t="s">
        <v>400</v>
      </c>
      <c r="G74" s="6" t="s">
        <v>401</v>
      </c>
      <c r="H74" s="6" t="s">
        <v>391</v>
      </c>
    </row>
    <row r="75" ht="27.75" customHeight="1">
      <c r="A75" s="1"/>
      <c r="B75" s="8">
        <v>46368.0</v>
      </c>
      <c r="C75" s="9" t="str">
        <f t="shared" si="1"/>
        <v>sábado</v>
      </c>
      <c r="D75" s="9">
        <v>0.0</v>
      </c>
      <c r="E75" s="10"/>
      <c r="F75" s="10"/>
      <c r="G75" s="10"/>
      <c r="H75" s="10"/>
    </row>
    <row r="76" ht="27.75" customHeight="1">
      <c r="A76" s="1"/>
      <c r="B76" s="8">
        <v>46369.0</v>
      </c>
      <c r="C76" s="9" t="str">
        <f t="shared" si="1"/>
        <v>domingo</v>
      </c>
      <c r="D76" s="9">
        <v>0.0</v>
      </c>
      <c r="E76" s="10"/>
      <c r="F76" s="10"/>
      <c r="G76" s="10"/>
      <c r="H76" s="10"/>
    </row>
    <row r="77" ht="27.75" customHeight="1">
      <c r="A77" s="1"/>
      <c r="B77" s="4">
        <v>46370.0</v>
      </c>
      <c r="C77" s="5" t="str">
        <f t="shared" si="1"/>
        <v>lunes</v>
      </c>
      <c r="D77" s="5">
        <v>12.0</v>
      </c>
      <c r="E77" s="6" t="s">
        <v>416</v>
      </c>
      <c r="F77" s="6" t="s">
        <v>417</v>
      </c>
      <c r="G77" s="6" t="s">
        <v>419</v>
      </c>
      <c r="H77" s="6" t="s">
        <v>391</v>
      </c>
    </row>
    <row r="78" ht="27.75" customHeight="1">
      <c r="A78" s="1"/>
      <c r="B78" s="4">
        <v>46371.0</v>
      </c>
      <c r="C78" s="5" t="str">
        <f t="shared" si="1"/>
        <v>martes</v>
      </c>
      <c r="D78" s="5">
        <v>12.0</v>
      </c>
      <c r="E78" s="6" t="s">
        <v>426</v>
      </c>
      <c r="F78" s="6" t="s">
        <v>428</v>
      </c>
      <c r="G78" s="6" t="s">
        <v>429</v>
      </c>
      <c r="H78" s="6" t="s">
        <v>391</v>
      </c>
    </row>
    <row r="79" ht="27.75" customHeight="1">
      <c r="A79" s="1"/>
      <c r="B79" s="4">
        <v>46372.0</v>
      </c>
      <c r="C79" s="5" t="str">
        <f t="shared" si="1"/>
        <v>miércoles</v>
      </c>
      <c r="D79" s="5">
        <v>12.0</v>
      </c>
      <c r="E79" s="6" t="s">
        <v>434</v>
      </c>
      <c r="F79" s="6" t="s">
        <v>436</v>
      </c>
      <c r="G79" s="6" t="s">
        <v>438</v>
      </c>
      <c r="H79" s="6" t="s">
        <v>391</v>
      </c>
    </row>
    <row r="80" ht="27.75" customHeight="1">
      <c r="A80" s="1"/>
      <c r="B80" s="4">
        <v>46373.0</v>
      </c>
      <c r="C80" s="5" t="str">
        <f t="shared" si="1"/>
        <v>jueves</v>
      </c>
      <c r="D80" s="5">
        <v>12.0</v>
      </c>
      <c r="E80" s="6" t="s">
        <v>440</v>
      </c>
      <c r="F80" s="6" t="s">
        <v>442</v>
      </c>
      <c r="G80" s="6" t="s">
        <v>279</v>
      </c>
      <c r="H80" s="6" t="s">
        <v>391</v>
      </c>
    </row>
    <row r="81" ht="27.75" customHeight="1">
      <c r="A81" s="1"/>
      <c r="B81" s="11">
        <v>46374.0</v>
      </c>
      <c r="C81" s="12" t="str">
        <f t="shared" si="1"/>
        <v>viernes</v>
      </c>
      <c r="D81" s="12">
        <v>12.0</v>
      </c>
      <c r="E81" s="13" t="s">
        <v>449</v>
      </c>
      <c r="F81" s="13" t="s">
        <v>451</v>
      </c>
      <c r="G81" s="13" t="s">
        <v>452</v>
      </c>
      <c r="H81" s="13" t="s">
        <v>391</v>
      </c>
    </row>
    <row r="82" ht="27.75" customHeight="1">
      <c r="A82" s="1"/>
      <c r="B82" s="8">
        <v>46375.0</v>
      </c>
      <c r="C82" s="9" t="str">
        <f t="shared" si="1"/>
        <v>sábado</v>
      </c>
      <c r="D82" s="9">
        <v>0.0</v>
      </c>
      <c r="E82" s="10"/>
      <c r="F82" s="10"/>
      <c r="G82" s="10"/>
      <c r="H82" s="10"/>
    </row>
    <row r="83" ht="27.75" customHeight="1">
      <c r="A83" s="1"/>
      <c r="B83" s="8">
        <v>46376.0</v>
      </c>
      <c r="C83" s="9" t="str">
        <f t="shared" si="1"/>
        <v>domingo</v>
      </c>
      <c r="D83" s="9">
        <v>0.0</v>
      </c>
      <c r="E83" s="10"/>
      <c r="F83" s="10"/>
      <c r="G83" s="10"/>
      <c r="H83" s="10"/>
    </row>
    <row r="84" ht="27.75" customHeight="1">
      <c r="A84" s="1"/>
      <c r="B84" s="4">
        <v>46377.0</v>
      </c>
      <c r="C84" s="5" t="str">
        <f t="shared" si="1"/>
        <v>lunes</v>
      </c>
      <c r="D84" s="5">
        <v>12.0</v>
      </c>
      <c r="E84" s="6" t="s">
        <v>455</v>
      </c>
      <c r="F84" s="6" t="s">
        <v>456</v>
      </c>
      <c r="G84" s="6" t="s">
        <v>457</v>
      </c>
      <c r="H84" s="6" t="s">
        <v>458</v>
      </c>
    </row>
    <row r="85" ht="27.75" customHeight="1">
      <c r="A85" s="1"/>
      <c r="B85" s="4">
        <v>46378.0</v>
      </c>
      <c r="C85" s="5" t="str">
        <f t="shared" si="1"/>
        <v>martes</v>
      </c>
      <c r="D85" s="5">
        <v>12.0</v>
      </c>
      <c r="E85" s="6" t="s">
        <v>459</v>
      </c>
      <c r="F85" s="6" t="s">
        <v>461</v>
      </c>
      <c r="G85" s="6" t="s">
        <v>463</v>
      </c>
      <c r="H85" s="6" t="s">
        <v>458</v>
      </c>
    </row>
    <row r="86" ht="27.75" customHeight="1">
      <c r="A86" s="1"/>
      <c r="B86" s="4">
        <v>46379.0</v>
      </c>
      <c r="C86" s="5" t="str">
        <f t="shared" si="1"/>
        <v>miércoles</v>
      </c>
      <c r="D86" s="5">
        <v>12.0</v>
      </c>
      <c r="E86" s="6" t="s">
        <v>472</v>
      </c>
      <c r="F86" s="6" t="s">
        <v>473</v>
      </c>
      <c r="G86" s="6" t="s">
        <v>474</v>
      </c>
      <c r="H86" s="6" t="s">
        <v>458</v>
      </c>
    </row>
    <row r="87" ht="27.75" customHeight="1">
      <c r="A87" s="1"/>
      <c r="B87" s="4">
        <v>46380.0</v>
      </c>
      <c r="C87" s="5" t="str">
        <f t="shared" si="1"/>
        <v>jueves</v>
      </c>
      <c r="D87" s="5">
        <v>12.0</v>
      </c>
      <c r="E87" s="6" t="s">
        <v>483</v>
      </c>
      <c r="F87" s="6" t="s">
        <v>484</v>
      </c>
      <c r="G87" s="6" t="s">
        <v>485</v>
      </c>
      <c r="H87" s="6" t="s">
        <v>458</v>
      </c>
    </row>
    <row r="88" ht="27.75" customHeight="1">
      <c r="A88" s="1"/>
      <c r="B88" s="8">
        <v>46381.0</v>
      </c>
      <c r="C88" s="9" t="str">
        <f t="shared" si="1"/>
        <v>viernes</v>
      </c>
      <c r="D88" s="9">
        <v>0.0</v>
      </c>
      <c r="E88" s="10" t="s">
        <v>487</v>
      </c>
      <c r="F88" s="10"/>
      <c r="G88" s="10"/>
      <c r="H88" s="10"/>
    </row>
    <row r="89" ht="27.75" customHeight="1">
      <c r="A89" s="1"/>
      <c r="B89" s="8">
        <v>46382.0</v>
      </c>
      <c r="C89" s="9" t="str">
        <f t="shared" si="1"/>
        <v>sábado</v>
      </c>
      <c r="D89" s="9">
        <v>0.0</v>
      </c>
      <c r="E89" s="10"/>
      <c r="F89" s="10"/>
      <c r="G89" s="10"/>
      <c r="H89" s="10"/>
    </row>
    <row r="90" ht="27.75" customHeight="1">
      <c r="A90" s="1"/>
      <c r="B90" s="8">
        <v>46383.0</v>
      </c>
      <c r="C90" s="9" t="str">
        <f t="shared" si="1"/>
        <v>domingo</v>
      </c>
      <c r="D90" s="9">
        <v>0.0</v>
      </c>
      <c r="E90" s="10"/>
      <c r="F90" s="10"/>
      <c r="G90" s="10"/>
      <c r="H90" s="10"/>
    </row>
    <row r="91" ht="27.75" customHeight="1">
      <c r="A91" s="1"/>
      <c r="B91" s="4">
        <v>46384.0</v>
      </c>
      <c r="C91" s="5" t="str">
        <f t="shared" si="1"/>
        <v>lunes</v>
      </c>
      <c r="D91" s="5">
        <v>12.0</v>
      </c>
      <c r="E91" s="6" t="s">
        <v>501</v>
      </c>
      <c r="F91" s="6" t="s">
        <v>502</v>
      </c>
      <c r="G91" s="6" t="s">
        <v>503</v>
      </c>
      <c r="H91" s="6" t="s">
        <v>458</v>
      </c>
    </row>
    <row r="92" ht="27.75" customHeight="1">
      <c r="A92" s="1"/>
      <c r="B92" s="11">
        <v>46385.0</v>
      </c>
      <c r="C92" s="12" t="str">
        <f t="shared" si="1"/>
        <v>martes</v>
      </c>
      <c r="D92" s="12">
        <v>12.0</v>
      </c>
      <c r="E92" s="13" t="s">
        <v>510</v>
      </c>
      <c r="F92" s="13" t="s">
        <v>511</v>
      </c>
      <c r="G92" s="13" t="s">
        <v>512</v>
      </c>
      <c r="H92" s="13" t="s">
        <v>458</v>
      </c>
    </row>
    <row r="93" ht="27.75" customHeight="1">
      <c r="A93" s="1"/>
      <c r="B93" s="4">
        <v>46386.0</v>
      </c>
      <c r="C93" s="5" t="str">
        <f t="shared" si="1"/>
        <v>miércoles</v>
      </c>
      <c r="D93" s="5">
        <v>12.0</v>
      </c>
      <c r="E93" s="6" t="s">
        <v>513</v>
      </c>
      <c r="F93" s="6" t="s">
        <v>514</v>
      </c>
      <c r="G93" s="6" t="s">
        <v>515</v>
      </c>
      <c r="H93" s="6" t="s">
        <v>516</v>
      </c>
    </row>
    <row r="94" ht="27.75" customHeight="1">
      <c r="A94" s="1"/>
      <c r="B94" s="4">
        <v>46387.0</v>
      </c>
      <c r="C94" s="5" t="str">
        <f t="shared" si="1"/>
        <v>jueves</v>
      </c>
      <c r="D94" s="5">
        <v>12.0</v>
      </c>
      <c r="E94" s="6" t="s">
        <v>517</v>
      </c>
      <c r="F94" s="6" t="s">
        <v>518</v>
      </c>
      <c r="G94" s="6" t="s">
        <v>279</v>
      </c>
      <c r="H94" s="6" t="s">
        <v>516</v>
      </c>
    </row>
    <row r="95" ht="15.0" customHeight="1">
      <c r="A95" s="1"/>
      <c r="B95" s="8">
        <v>46388.0</v>
      </c>
      <c r="C95" s="9" t="str">
        <f t="shared" si="1"/>
        <v>viernes</v>
      </c>
      <c r="D95" s="9">
        <v>0.0</v>
      </c>
      <c r="E95" s="10" t="s">
        <v>519</v>
      </c>
      <c r="F95" s="10"/>
      <c r="G95" s="10"/>
      <c r="H95" s="10"/>
    </row>
    <row r="96" ht="15.0" customHeight="1">
      <c r="A96" s="1"/>
      <c r="B96" s="8">
        <v>46389.0</v>
      </c>
      <c r="C96" s="9" t="str">
        <f t="shared" si="1"/>
        <v>sábado</v>
      </c>
      <c r="D96" s="9">
        <v>0.0</v>
      </c>
      <c r="E96" s="10"/>
      <c r="F96" s="10"/>
      <c r="G96" s="10"/>
      <c r="H96" s="10"/>
    </row>
    <row r="97" ht="15.0" customHeight="1">
      <c r="A97" s="1"/>
      <c r="B97" s="8">
        <v>46390.0</v>
      </c>
      <c r="C97" s="9" t="str">
        <f t="shared" si="1"/>
        <v>domingo</v>
      </c>
      <c r="D97" s="9">
        <v>0.0</v>
      </c>
      <c r="E97" s="10"/>
      <c r="F97" s="10"/>
      <c r="G97" s="10"/>
      <c r="H97" s="10"/>
    </row>
    <row r="98" ht="27.75" customHeight="1">
      <c r="A98" s="1"/>
      <c r="B98" s="4">
        <v>46391.0</v>
      </c>
      <c r="C98" s="5" t="str">
        <f t="shared" si="1"/>
        <v>lunes</v>
      </c>
      <c r="D98" s="5">
        <v>12.0</v>
      </c>
      <c r="E98" s="6" t="s">
        <v>533</v>
      </c>
      <c r="F98" s="6" t="s">
        <v>534</v>
      </c>
      <c r="G98" s="6" t="s">
        <v>535</v>
      </c>
      <c r="H98" s="6" t="s">
        <v>516</v>
      </c>
    </row>
    <row r="99" ht="27.75" customHeight="1">
      <c r="A99" s="1"/>
      <c r="B99" s="4">
        <v>46392.0</v>
      </c>
      <c r="C99" s="5" t="str">
        <f t="shared" si="1"/>
        <v>martes</v>
      </c>
      <c r="D99" s="5">
        <v>12.0</v>
      </c>
      <c r="E99" s="6" t="s">
        <v>539</v>
      </c>
      <c r="F99" s="6" t="s">
        <v>542</v>
      </c>
      <c r="G99" s="6" t="s">
        <v>545</v>
      </c>
      <c r="H99" s="6" t="s">
        <v>516</v>
      </c>
    </row>
    <row r="100" ht="27.75" customHeight="1">
      <c r="A100" s="1"/>
      <c r="B100" s="4">
        <v>46393.0</v>
      </c>
      <c r="C100" s="5" t="str">
        <f t="shared" si="1"/>
        <v>miércoles</v>
      </c>
      <c r="D100" s="5">
        <v>12.0</v>
      </c>
      <c r="E100" s="6" t="s">
        <v>549</v>
      </c>
      <c r="F100" s="6" t="s">
        <v>550</v>
      </c>
      <c r="G100" s="6" t="s">
        <v>551</v>
      </c>
      <c r="H100" s="6" t="s">
        <v>516</v>
      </c>
    </row>
    <row r="101" ht="27.75" customHeight="1">
      <c r="A101" s="1"/>
      <c r="B101" s="4">
        <v>46394.0</v>
      </c>
      <c r="C101" s="5" t="str">
        <f t="shared" si="1"/>
        <v>jueves</v>
      </c>
      <c r="D101" s="5">
        <v>12.0</v>
      </c>
      <c r="E101" s="6" t="s">
        <v>557</v>
      </c>
      <c r="F101" s="6" t="s">
        <v>558</v>
      </c>
      <c r="G101" s="6" t="s">
        <v>559</v>
      </c>
      <c r="H101" s="6" t="s">
        <v>516</v>
      </c>
    </row>
    <row r="102" ht="27.75" customHeight="1">
      <c r="A102" s="1"/>
      <c r="B102" s="11">
        <v>46395.0</v>
      </c>
      <c r="C102" s="12" t="str">
        <f t="shared" si="1"/>
        <v>viernes</v>
      </c>
      <c r="D102" s="12">
        <v>12.0</v>
      </c>
      <c r="E102" s="13" t="s">
        <v>564</v>
      </c>
      <c r="F102" s="13" t="s">
        <v>566</v>
      </c>
      <c r="G102" s="13" t="s">
        <v>568</v>
      </c>
      <c r="H102" s="13" t="s">
        <v>516</v>
      </c>
    </row>
    <row r="103" ht="15.0" customHeight="1">
      <c r="A103" s="1"/>
      <c r="B103" s="8">
        <v>46396.0</v>
      </c>
      <c r="C103" s="9" t="str">
        <f t="shared" si="1"/>
        <v>sábado</v>
      </c>
      <c r="D103" s="9">
        <v>0.0</v>
      </c>
      <c r="E103" s="10"/>
      <c r="F103" s="10"/>
      <c r="G103" s="10"/>
      <c r="H103" s="10"/>
    </row>
    <row r="104" ht="15.0" customHeight="1">
      <c r="A104" s="1"/>
      <c r="B104" s="8">
        <v>46397.0</v>
      </c>
      <c r="C104" s="9" t="str">
        <f t="shared" si="1"/>
        <v>domingo</v>
      </c>
      <c r="D104" s="9">
        <v>0.0</v>
      </c>
      <c r="E104" s="10"/>
      <c r="F104" s="10"/>
      <c r="G104" s="10"/>
      <c r="H104" s="10"/>
    </row>
    <row r="105" ht="27.75" customHeight="1">
      <c r="A105" s="1"/>
      <c r="B105" s="4">
        <v>46398.0</v>
      </c>
      <c r="C105" s="5" t="str">
        <f t="shared" si="1"/>
        <v>lunes</v>
      </c>
      <c r="D105" s="5">
        <v>12.0</v>
      </c>
      <c r="E105" s="6" t="s">
        <v>570</v>
      </c>
      <c r="F105" s="6" t="s">
        <v>571</v>
      </c>
      <c r="G105" s="6" t="s">
        <v>572</v>
      </c>
      <c r="H105" s="6" t="s">
        <v>573</v>
      </c>
    </row>
    <row r="106" ht="27.75" customHeight="1">
      <c r="A106" s="1"/>
      <c r="B106" s="4">
        <v>46399.0</v>
      </c>
      <c r="C106" s="5" t="str">
        <f t="shared" si="1"/>
        <v>martes</v>
      </c>
      <c r="D106" s="5">
        <v>12.0</v>
      </c>
      <c r="E106" s="6" t="s">
        <v>579</v>
      </c>
      <c r="F106" s="6" t="s">
        <v>580</v>
      </c>
      <c r="G106" s="6" t="s">
        <v>581</v>
      </c>
      <c r="H106" s="6" t="s">
        <v>573</v>
      </c>
    </row>
    <row r="107" ht="27.75" customHeight="1">
      <c r="A107" s="1"/>
      <c r="B107" s="4">
        <v>46400.0</v>
      </c>
      <c r="C107" s="5" t="str">
        <f t="shared" si="1"/>
        <v>miércoles</v>
      </c>
      <c r="D107" s="5">
        <v>12.0</v>
      </c>
      <c r="E107" s="6" t="s">
        <v>586</v>
      </c>
      <c r="F107" s="6" t="s">
        <v>588</v>
      </c>
      <c r="G107" s="6" t="s">
        <v>590</v>
      </c>
      <c r="H107" s="6" t="s">
        <v>573</v>
      </c>
    </row>
    <row r="108" ht="27.75" customHeight="1">
      <c r="A108" s="1"/>
      <c r="B108" s="4">
        <v>46401.0</v>
      </c>
      <c r="C108" s="5" t="str">
        <f t="shared" si="1"/>
        <v>jueves</v>
      </c>
      <c r="D108" s="5">
        <v>12.0</v>
      </c>
      <c r="E108" s="6" t="s">
        <v>593</v>
      </c>
      <c r="F108" s="6" t="s">
        <v>594</v>
      </c>
      <c r="G108" s="6" t="s">
        <v>595</v>
      </c>
      <c r="H108" s="6" t="s">
        <v>573</v>
      </c>
    </row>
    <row r="109" ht="27.75" customHeight="1">
      <c r="A109" s="1"/>
      <c r="B109" s="4">
        <v>46402.0</v>
      </c>
      <c r="C109" s="5" t="str">
        <f t="shared" si="1"/>
        <v>viernes</v>
      </c>
      <c r="D109" s="5">
        <v>12.0</v>
      </c>
      <c r="E109" s="6" t="s">
        <v>602</v>
      </c>
      <c r="F109" s="6" t="s">
        <v>603</v>
      </c>
      <c r="G109" s="6" t="s">
        <v>605</v>
      </c>
      <c r="H109" s="6" t="s">
        <v>573</v>
      </c>
    </row>
    <row r="110" ht="15.0" customHeight="1">
      <c r="A110" s="1"/>
      <c r="B110" s="1"/>
      <c r="C110" s="15" t="s">
        <v>608</v>
      </c>
      <c r="D110" s="15">
        <f>SUM(D2:D109)</f>
        <v>876</v>
      </c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3" width="10.0"/>
    <col customWidth="1" min="4" max="4" width="8.0"/>
    <col customWidth="1" min="5" max="5" width="38.0"/>
    <col customWidth="1" min="6" max="6" width="60.0"/>
    <col customWidth="1" min="7" max="7" width="36.0"/>
    <col customWidth="1" min="8" max="8" width="42.0"/>
    <col customWidth="1" min="9" max="9" width="24.0"/>
    <col customWidth="1" min="10" max="26" width="8.71"/>
  </cols>
  <sheetData>
    <row r="1" ht="15.0" customHeight="1">
      <c r="A1" s="1"/>
      <c r="B1" s="3" t="s">
        <v>9</v>
      </c>
      <c r="C1" s="1"/>
      <c r="D1" s="1"/>
      <c r="E1" s="1"/>
      <c r="F1" s="1"/>
      <c r="G1" s="7" t="s">
        <v>10</v>
      </c>
      <c r="H1" s="1"/>
      <c r="I1" s="1"/>
    </row>
    <row r="2" ht="15.0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21</v>
      </c>
      <c r="G2" s="2" t="s">
        <v>4</v>
      </c>
      <c r="H2" s="2" t="s">
        <v>5</v>
      </c>
      <c r="I2" s="2" t="s">
        <v>6</v>
      </c>
    </row>
    <row r="3" ht="27.75" customHeight="1">
      <c r="A3" s="1"/>
      <c r="B3" s="4">
        <v>46295.0</v>
      </c>
      <c r="C3" s="5" t="str">
        <f t="shared" ref="C3:C110" si="1">CHOOSE(WEEKDAY(B3,2),"lunes","martes","miércoles","jueves","viernes","sábado","domingo")</f>
        <v>miércoles</v>
      </c>
      <c r="D3" s="5">
        <v>4.0</v>
      </c>
      <c r="E3" s="6" t="s">
        <v>11</v>
      </c>
      <c r="F3" s="6" t="s">
        <v>29</v>
      </c>
      <c r="G3" s="6" t="s">
        <v>31</v>
      </c>
      <c r="H3" s="6" t="s">
        <v>34</v>
      </c>
      <c r="I3" s="6" t="s">
        <v>38</v>
      </c>
    </row>
    <row r="4" ht="27.75" customHeight="1">
      <c r="A4" s="1"/>
      <c r="B4" s="4">
        <v>46296.0</v>
      </c>
      <c r="C4" s="5" t="str">
        <f t="shared" si="1"/>
        <v>jueves</v>
      </c>
      <c r="D4" s="5">
        <v>4.0</v>
      </c>
      <c r="E4" s="6" t="s">
        <v>15</v>
      </c>
      <c r="F4" s="6" t="s">
        <v>43</v>
      </c>
      <c r="G4" s="6" t="s">
        <v>45</v>
      </c>
      <c r="H4" s="6" t="s">
        <v>48</v>
      </c>
      <c r="I4" s="6" t="s">
        <v>38</v>
      </c>
    </row>
    <row r="5" ht="27.75" customHeight="1">
      <c r="A5" s="1"/>
      <c r="B5" s="4">
        <v>46297.0</v>
      </c>
      <c r="C5" s="5" t="str">
        <f t="shared" si="1"/>
        <v>viernes</v>
      </c>
      <c r="D5" s="5">
        <v>4.0</v>
      </c>
      <c r="E5" s="6" t="s">
        <v>18</v>
      </c>
      <c r="F5" s="6" t="s">
        <v>51</v>
      </c>
      <c r="G5" s="6" t="s">
        <v>52</v>
      </c>
      <c r="H5" s="6" t="s">
        <v>53</v>
      </c>
      <c r="I5" s="6" t="s">
        <v>38</v>
      </c>
    </row>
    <row r="6" ht="15.0" customHeight="1">
      <c r="A6" s="1"/>
      <c r="B6" s="8">
        <v>46298.0</v>
      </c>
      <c r="C6" s="9" t="str">
        <f t="shared" si="1"/>
        <v>sábado</v>
      </c>
      <c r="D6" s="9">
        <v>0.0</v>
      </c>
      <c r="E6" s="10"/>
      <c r="F6" s="10"/>
      <c r="G6" s="10"/>
      <c r="H6" s="10"/>
      <c r="I6" s="10"/>
    </row>
    <row r="7" ht="15.0" customHeight="1">
      <c r="A7" s="1"/>
      <c r="B7" s="8">
        <v>46299.0</v>
      </c>
      <c r="C7" s="9" t="str">
        <f t="shared" si="1"/>
        <v>domingo</v>
      </c>
      <c r="D7" s="9">
        <v>0.0</v>
      </c>
      <c r="E7" s="10"/>
      <c r="F7" s="10"/>
      <c r="G7" s="10"/>
      <c r="H7" s="10"/>
      <c r="I7" s="10"/>
    </row>
    <row r="8" ht="15.0" customHeight="1">
      <c r="A8" s="1"/>
      <c r="B8" s="4">
        <v>46300.0</v>
      </c>
      <c r="C8" s="5" t="str">
        <f t="shared" si="1"/>
        <v>lunes</v>
      </c>
      <c r="D8" s="5">
        <v>4.0</v>
      </c>
      <c r="E8" s="6" t="s">
        <v>22</v>
      </c>
      <c r="F8" s="6" t="s">
        <v>73</v>
      </c>
      <c r="G8" s="6" t="s">
        <v>75</v>
      </c>
      <c r="H8" s="6" t="s">
        <v>77</v>
      </c>
      <c r="I8" s="6" t="s">
        <v>38</v>
      </c>
    </row>
    <row r="9" ht="27.75" customHeight="1">
      <c r="A9" s="1"/>
      <c r="B9" s="11">
        <v>46301.0</v>
      </c>
      <c r="C9" s="12" t="str">
        <f t="shared" si="1"/>
        <v>martes</v>
      </c>
      <c r="D9" s="12">
        <v>4.0</v>
      </c>
      <c r="E9" s="13" t="s">
        <v>25</v>
      </c>
      <c r="F9" s="13" t="s">
        <v>85</v>
      </c>
      <c r="G9" s="13" t="s">
        <v>86</v>
      </c>
      <c r="H9" s="13" t="s">
        <v>87</v>
      </c>
      <c r="I9" s="13" t="s">
        <v>28</v>
      </c>
    </row>
    <row r="10" ht="15.0" customHeight="1">
      <c r="A10" s="1"/>
      <c r="B10" s="4">
        <v>46302.0</v>
      </c>
      <c r="C10" s="5" t="str">
        <f t="shared" si="1"/>
        <v>miércoles</v>
      </c>
      <c r="D10" s="5">
        <v>4.0</v>
      </c>
      <c r="E10" s="6" t="s">
        <v>33</v>
      </c>
      <c r="F10" s="6" t="s">
        <v>91</v>
      </c>
      <c r="G10" s="6" t="s">
        <v>92</v>
      </c>
      <c r="H10" s="6" t="s">
        <v>93</v>
      </c>
      <c r="I10" s="6" t="s">
        <v>94</v>
      </c>
    </row>
    <row r="11" ht="27.75" customHeight="1">
      <c r="A11" s="1"/>
      <c r="B11" s="4">
        <v>46303.0</v>
      </c>
      <c r="C11" s="5" t="str">
        <f t="shared" si="1"/>
        <v>jueves</v>
      </c>
      <c r="D11" s="5">
        <v>4.0</v>
      </c>
      <c r="E11" s="6" t="s">
        <v>41</v>
      </c>
      <c r="F11" s="6" t="s">
        <v>98</v>
      </c>
      <c r="G11" s="6" t="s">
        <v>99</v>
      </c>
      <c r="H11" s="6" t="s">
        <v>100</v>
      </c>
      <c r="I11" s="6" t="s">
        <v>101</v>
      </c>
    </row>
    <row r="12" ht="15.0" customHeight="1">
      <c r="A12" s="1"/>
      <c r="B12" s="8">
        <v>46304.0</v>
      </c>
      <c r="C12" s="9" t="str">
        <f t="shared" si="1"/>
        <v>viernes</v>
      </c>
      <c r="D12" s="9">
        <v>0.0</v>
      </c>
      <c r="E12" s="10" t="s">
        <v>50</v>
      </c>
      <c r="F12" s="10"/>
      <c r="G12" s="10"/>
      <c r="H12" s="10"/>
      <c r="I12" s="10"/>
    </row>
    <row r="13" ht="15.0" customHeight="1">
      <c r="A13" s="1"/>
      <c r="B13" s="8">
        <v>46305.0</v>
      </c>
      <c r="C13" s="9" t="str">
        <f t="shared" si="1"/>
        <v>sábado</v>
      </c>
      <c r="D13" s="9">
        <v>0.0</v>
      </c>
      <c r="E13" s="10"/>
      <c r="F13" s="10"/>
      <c r="G13" s="10"/>
      <c r="H13" s="10"/>
      <c r="I13" s="10"/>
    </row>
    <row r="14" ht="15.0" customHeight="1">
      <c r="A14" s="1"/>
      <c r="B14" s="8">
        <v>46306.0</v>
      </c>
      <c r="C14" s="9" t="str">
        <f t="shared" si="1"/>
        <v>domingo</v>
      </c>
      <c r="D14" s="9">
        <v>0.0</v>
      </c>
      <c r="E14" s="10"/>
      <c r="F14" s="10"/>
      <c r="G14" s="10"/>
      <c r="H14" s="10"/>
      <c r="I14" s="10"/>
    </row>
    <row r="15" ht="15.0" customHeight="1">
      <c r="A15" s="1"/>
      <c r="B15" s="4">
        <v>46307.0</v>
      </c>
      <c r="C15" s="5" t="str">
        <f t="shared" si="1"/>
        <v>lunes</v>
      </c>
      <c r="D15" s="5">
        <v>4.0</v>
      </c>
      <c r="E15" s="6" t="s">
        <v>59</v>
      </c>
      <c r="F15" s="6" t="s">
        <v>124</v>
      </c>
      <c r="G15" s="6" t="s">
        <v>125</v>
      </c>
      <c r="H15" s="6" t="s">
        <v>126</v>
      </c>
      <c r="I15" s="6" t="s">
        <v>63</v>
      </c>
    </row>
    <row r="16" ht="27.75" customHeight="1">
      <c r="A16" s="1"/>
      <c r="B16" s="4">
        <v>46308.0</v>
      </c>
      <c r="C16" s="5" t="str">
        <f t="shared" si="1"/>
        <v>martes</v>
      </c>
      <c r="D16" s="5">
        <v>4.0</v>
      </c>
      <c r="E16" s="6" t="s">
        <v>65</v>
      </c>
      <c r="F16" s="6" t="s">
        <v>133</v>
      </c>
      <c r="G16" s="6" t="s">
        <v>134</v>
      </c>
      <c r="H16" s="6" t="s">
        <v>126</v>
      </c>
      <c r="I16" s="6" t="s">
        <v>63</v>
      </c>
    </row>
    <row r="17" ht="15.0" customHeight="1">
      <c r="A17" s="1"/>
      <c r="B17" s="4">
        <v>46309.0</v>
      </c>
      <c r="C17" s="5" t="str">
        <f t="shared" si="1"/>
        <v>miércoles</v>
      </c>
      <c r="D17" s="5">
        <v>4.0</v>
      </c>
      <c r="E17" s="6" t="s">
        <v>67</v>
      </c>
      <c r="F17" s="6" t="s">
        <v>140</v>
      </c>
      <c r="G17" s="6" t="s">
        <v>142</v>
      </c>
      <c r="H17" s="6" t="s">
        <v>143</v>
      </c>
      <c r="I17" s="6" t="s">
        <v>94</v>
      </c>
    </row>
    <row r="18" ht="15.0" customHeight="1">
      <c r="A18" s="1"/>
      <c r="B18" s="4">
        <v>46310.0</v>
      </c>
      <c r="C18" s="5" t="str">
        <f t="shared" si="1"/>
        <v>jueves</v>
      </c>
      <c r="D18" s="5">
        <v>4.0</v>
      </c>
      <c r="E18" s="6" t="s">
        <v>72</v>
      </c>
      <c r="F18" s="6" t="s">
        <v>148</v>
      </c>
      <c r="G18" s="6" t="s">
        <v>150</v>
      </c>
      <c r="H18" s="6" t="s">
        <v>151</v>
      </c>
      <c r="I18" s="6" t="s">
        <v>153</v>
      </c>
    </row>
    <row r="19" ht="15.0" customHeight="1">
      <c r="A19" s="1"/>
      <c r="B19" s="4">
        <v>46311.0</v>
      </c>
      <c r="C19" s="5" t="str">
        <f t="shared" si="1"/>
        <v>viernes</v>
      </c>
      <c r="D19" s="5">
        <v>4.0</v>
      </c>
      <c r="E19" s="6" t="s">
        <v>80</v>
      </c>
      <c r="F19" s="6" t="s">
        <v>158</v>
      </c>
      <c r="G19" s="6" t="s">
        <v>159</v>
      </c>
      <c r="H19" s="6" t="s">
        <v>160</v>
      </c>
      <c r="I19" s="6" t="s">
        <v>94</v>
      </c>
    </row>
    <row r="20" ht="15.0" customHeight="1">
      <c r="A20" s="1"/>
      <c r="B20" s="8">
        <v>46312.0</v>
      </c>
      <c r="C20" s="9" t="str">
        <f t="shared" si="1"/>
        <v>sábado</v>
      </c>
      <c r="D20" s="9">
        <v>0.0</v>
      </c>
      <c r="E20" s="10"/>
      <c r="F20" s="10"/>
      <c r="G20" s="10"/>
      <c r="H20" s="10"/>
      <c r="I20" s="10"/>
    </row>
    <row r="21" ht="15.0" customHeight="1">
      <c r="A21" s="1"/>
      <c r="B21" s="8">
        <v>46313.0</v>
      </c>
      <c r="C21" s="9" t="str">
        <f t="shared" si="1"/>
        <v>domingo</v>
      </c>
      <c r="D21" s="9">
        <v>0.0</v>
      </c>
      <c r="E21" s="10"/>
      <c r="F21" s="10"/>
      <c r="G21" s="10"/>
      <c r="H21" s="10"/>
      <c r="I21" s="10"/>
    </row>
    <row r="22" ht="27.75" customHeight="1">
      <c r="A22" s="1"/>
      <c r="B22" s="4">
        <v>46314.0</v>
      </c>
      <c r="C22" s="5" t="str">
        <f t="shared" si="1"/>
        <v>lunes</v>
      </c>
      <c r="D22" s="5">
        <v>4.0</v>
      </c>
      <c r="E22" s="6" t="s">
        <v>88</v>
      </c>
      <c r="F22" s="6" t="s">
        <v>174</v>
      </c>
      <c r="G22" s="6" t="s">
        <v>175</v>
      </c>
      <c r="H22" s="6" t="s">
        <v>114</v>
      </c>
      <c r="I22" s="6" t="s">
        <v>94</v>
      </c>
    </row>
    <row r="23" ht="41.25" customHeight="1">
      <c r="A23" s="1"/>
      <c r="B23" s="11">
        <v>46315.0</v>
      </c>
      <c r="C23" s="12" t="str">
        <f t="shared" si="1"/>
        <v>martes</v>
      </c>
      <c r="D23" s="12">
        <v>4.0</v>
      </c>
      <c r="E23" s="13" t="s">
        <v>95</v>
      </c>
      <c r="F23" s="13" t="s">
        <v>184</v>
      </c>
      <c r="G23" s="13" t="s">
        <v>186</v>
      </c>
      <c r="H23" s="13" t="s">
        <v>188</v>
      </c>
      <c r="I23" s="13" t="s">
        <v>28</v>
      </c>
    </row>
    <row r="24" ht="41.25" customHeight="1">
      <c r="A24" s="1"/>
      <c r="B24" s="4">
        <v>46316.0</v>
      </c>
      <c r="C24" s="5" t="str">
        <f t="shared" si="1"/>
        <v>miércoles</v>
      </c>
      <c r="D24" s="5">
        <v>4.0</v>
      </c>
      <c r="E24" s="6" t="s">
        <v>102</v>
      </c>
      <c r="F24" s="6" t="s">
        <v>195</v>
      </c>
      <c r="G24" s="6" t="s">
        <v>197</v>
      </c>
      <c r="H24" s="6" t="s">
        <v>198</v>
      </c>
      <c r="I24" s="6" t="s">
        <v>199</v>
      </c>
    </row>
    <row r="25" ht="27.75" customHeight="1">
      <c r="A25" s="1"/>
      <c r="B25" s="4">
        <v>46317.0</v>
      </c>
      <c r="C25" s="5" t="str">
        <f t="shared" si="1"/>
        <v>jueves</v>
      </c>
      <c r="D25" s="5">
        <v>4.0</v>
      </c>
      <c r="E25" s="6" t="s">
        <v>109</v>
      </c>
      <c r="F25" s="6" t="s">
        <v>204</v>
      </c>
      <c r="G25" s="6" t="s">
        <v>206</v>
      </c>
      <c r="H25" s="6" t="s">
        <v>207</v>
      </c>
      <c r="I25" s="6" t="s">
        <v>199</v>
      </c>
    </row>
    <row r="26" ht="41.25" customHeight="1">
      <c r="A26" s="1"/>
      <c r="B26" s="4">
        <v>46318.0</v>
      </c>
      <c r="C26" s="5" t="str">
        <f t="shared" si="1"/>
        <v>viernes</v>
      </c>
      <c r="D26" s="5">
        <v>4.0</v>
      </c>
      <c r="E26" s="6" t="s">
        <v>116</v>
      </c>
      <c r="F26" s="6" t="s">
        <v>211</v>
      </c>
      <c r="G26" s="6" t="s">
        <v>212</v>
      </c>
      <c r="H26" s="6" t="s">
        <v>214</v>
      </c>
      <c r="I26" s="6" t="s">
        <v>216</v>
      </c>
    </row>
    <row r="27" ht="15.0" customHeight="1">
      <c r="A27" s="1"/>
      <c r="B27" s="8">
        <v>46319.0</v>
      </c>
      <c r="C27" s="9" t="str">
        <f t="shared" si="1"/>
        <v>sábado</v>
      </c>
      <c r="D27" s="9">
        <v>0.0</v>
      </c>
      <c r="E27" s="10"/>
      <c r="F27" s="10"/>
      <c r="G27" s="10"/>
      <c r="H27" s="10"/>
      <c r="I27" s="10"/>
    </row>
    <row r="28" ht="15.0" customHeight="1">
      <c r="A28" s="1"/>
      <c r="B28" s="8">
        <v>46320.0</v>
      </c>
      <c r="C28" s="9" t="str">
        <f t="shared" si="1"/>
        <v>domingo</v>
      </c>
      <c r="D28" s="9">
        <v>0.0</v>
      </c>
      <c r="E28" s="10"/>
      <c r="F28" s="10"/>
      <c r="G28" s="10"/>
      <c r="H28" s="10"/>
      <c r="I28" s="10"/>
    </row>
    <row r="29" ht="27.75" customHeight="1">
      <c r="A29" s="1"/>
      <c r="B29" s="4">
        <v>46321.0</v>
      </c>
      <c r="C29" s="5" t="str">
        <f t="shared" si="1"/>
        <v>lunes</v>
      </c>
      <c r="D29" s="5">
        <v>4.0</v>
      </c>
      <c r="E29" s="6" t="s">
        <v>127</v>
      </c>
      <c r="F29" s="6" t="s">
        <v>230</v>
      </c>
      <c r="G29" s="6" t="s">
        <v>234</v>
      </c>
      <c r="H29" s="6" t="s">
        <v>237</v>
      </c>
      <c r="I29" s="6" t="s">
        <v>199</v>
      </c>
    </row>
    <row r="30" ht="27.75" customHeight="1">
      <c r="A30" s="1"/>
      <c r="B30" s="4">
        <v>46322.0</v>
      </c>
      <c r="C30" s="5" t="str">
        <f t="shared" si="1"/>
        <v>martes</v>
      </c>
      <c r="D30" s="5">
        <v>4.0</v>
      </c>
      <c r="E30" s="6" t="s">
        <v>135</v>
      </c>
      <c r="F30" s="6" t="s">
        <v>244</v>
      </c>
      <c r="G30" s="6" t="s">
        <v>247</v>
      </c>
      <c r="H30" s="6" t="s">
        <v>250</v>
      </c>
      <c r="I30" s="6" t="s">
        <v>199</v>
      </c>
    </row>
    <row r="31" ht="27.75" customHeight="1">
      <c r="A31" s="1"/>
      <c r="B31" s="4">
        <v>46323.0</v>
      </c>
      <c r="C31" s="5" t="str">
        <f t="shared" si="1"/>
        <v>miércoles</v>
      </c>
      <c r="D31" s="5">
        <v>4.0</v>
      </c>
      <c r="E31" s="6" t="s">
        <v>145</v>
      </c>
      <c r="F31" s="6" t="s">
        <v>254</v>
      </c>
      <c r="G31" s="6" t="s">
        <v>256</v>
      </c>
      <c r="H31" s="6" t="s">
        <v>258</v>
      </c>
      <c r="I31" s="6" t="s">
        <v>199</v>
      </c>
    </row>
    <row r="32" ht="41.25" customHeight="1">
      <c r="A32" s="1"/>
      <c r="B32" s="4">
        <v>46324.0</v>
      </c>
      <c r="C32" s="5" t="str">
        <f t="shared" si="1"/>
        <v>jueves</v>
      </c>
      <c r="D32" s="5">
        <v>4.0</v>
      </c>
      <c r="E32" s="6" t="s">
        <v>155</v>
      </c>
      <c r="F32" s="6" t="s">
        <v>268</v>
      </c>
      <c r="G32" s="6" t="s">
        <v>270</v>
      </c>
      <c r="H32" s="6" t="s">
        <v>272</v>
      </c>
      <c r="I32" s="6" t="s">
        <v>199</v>
      </c>
    </row>
    <row r="33" ht="27.75" customHeight="1">
      <c r="A33" s="1"/>
      <c r="B33" s="11">
        <v>46325.0</v>
      </c>
      <c r="C33" s="12" t="str">
        <f t="shared" si="1"/>
        <v>viernes</v>
      </c>
      <c r="D33" s="12">
        <v>4.0</v>
      </c>
      <c r="E33" s="13" t="s">
        <v>162</v>
      </c>
      <c r="F33" s="13" t="s">
        <v>278</v>
      </c>
      <c r="G33" s="13" t="s">
        <v>280</v>
      </c>
      <c r="H33" s="13" t="s">
        <v>281</v>
      </c>
      <c r="I33" s="13" t="s">
        <v>199</v>
      </c>
    </row>
    <row r="34" ht="15.0" customHeight="1">
      <c r="A34" s="1"/>
      <c r="B34" s="8">
        <v>46326.0</v>
      </c>
      <c r="C34" s="9" t="str">
        <f t="shared" si="1"/>
        <v>sábado</v>
      </c>
      <c r="D34" s="9">
        <v>0.0</v>
      </c>
      <c r="E34" s="10"/>
      <c r="F34" s="10"/>
      <c r="G34" s="10"/>
      <c r="H34" s="10"/>
      <c r="I34" s="10"/>
    </row>
    <row r="35" ht="15.0" customHeight="1">
      <c r="A35" s="1"/>
      <c r="B35" s="8">
        <v>46327.0</v>
      </c>
      <c r="C35" s="9" t="str">
        <f t="shared" si="1"/>
        <v>domingo</v>
      </c>
      <c r="D35" s="9">
        <v>0.0</v>
      </c>
      <c r="E35" s="10"/>
      <c r="F35" s="10"/>
      <c r="G35" s="10"/>
      <c r="H35" s="10"/>
      <c r="I35" s="10"/>
    </row>
    <row r="36" ht="15.0" customHeight="1">
      <c r="A36" s="1"/>
      <c r="B36" s="8">
        <v>46328.0</v>
      </c>
      <c r="C36" s="9" t="str">
        <f t="shared" si="1"/>
        <v>lunes</v>
      </c>
      <c r="D36" s="9">
        <v>0.0</v>
      </c>
      <c r="E36" s="10" t="s">
        <v>169</v>
      </c>
      <c r="F36" s="10"/>
      <c r="G36" s="10"/>
      <c r="H36" s="10"/>
      <c r="I36" s="10"/>
    </row>
    <row r="37" ht="15.0" customHeight="1">
      <c r="A37" s="1"/>
      <c r="B37" s="8">
        <v>46329.0</v>
      </c>
      <c r="C37" s="9" t="str">
        <f t="shared" si="1"/>
        <v>martes</v>
      </c>
      <c r="D37" s="9">
        <v>0.0</v>
      </c>
      <c r="E37" s="10" t="s">
        <v>176</v>
      </c>
      <c r="F37" s="10"/>
      <c r="G37" s="10"/>
      <c r="H37" s="10"/>
      <c r="I37" s="10"/>
    </row>
    <row r="38" ht="27.75" customHeight="1">
      <c r="A38" s="1"/>
      <c r="B38" s="4">
        <v>46330.0</v>
      </c>
      <c r="C38" s="5" t="str">
        <f t="shared" si="1"/>
        <v>miércoles</v>
      </c>
      <c r="D38" s="5">
        <v>4.0</v>
      </c>
      <c r="E38" s="6" t="s">
        <v>179</v>
      </c>
      <c r="F38" s="6" t="s">
        <v>310</v>
      </c>
      <c r="G38" s="6" t="s">
        <v>312</v>
      </c>
      <c r="H38" s="6" t="s">
        <v>314</v>
      </c>
      <c r="I38" s="6" t="s">
        <v>318</v>
      </c>
    </row>
    <row r="39" ht="27.75" customHeight="1">
      <c r="A39" s="1"/>
      <c r="B39" s="4">
        <v>46331.0</v>
      </c>
      <c r="C39" s="5" t="str">
        <f t="shared" si="1"/>
        <v>jueves</v>
      </c>
      <c r="D39" s="5">
        <v>4.0</v>
      </c>
      <c r="E39" s="6" t="s">
        <v>191</v>
      </c>
      <c r="F39" s="6" t="s">
        <v>323</v>
      </c>
      <c r="G39" s="6" t="s">
        <v>325</v>
      </c>
      <c r="H39" s="6" t="s">
        <v>328</v>
      </c>
      <c r="I39" s="6" t="s">
        <v>318</v>
      </c>
    </row>
    <row r="40" ht="27.75" customHeight="1">
      <c r="A40" s="1"/>
      <c r="B40" s="4">
        <v>46332.0</v>
      </c>
      <c r="C40" s="5" t="str">
        <f t="shared" si="1"/>
        <v>viernes</v>
      </c>
      <c r="D40" s="5">
        <v>4.0</v>
      </c>
      <c r="E40" s="6" t="s">
        <v>200</v>
      </c>
      <c r="F40" s="6" t="s">
        <v>337</v>
      </c>
      <c r="G40" s="6" t="s">
        <v>338</v>
      </c>
      <c r="H40" s="6" t="s">
        <v>339</v>
      </c>
      <c r="I40" s="6" t="s">
        <v>318</v>
      </c>
    </row>
    <row r="41" ht="15.0" customHeight="1">
      <c r="A41" s="1"/>
      <c r="B41" s="8">
        <v>46333.0</v>
      </c>
      <c r="C41" s="9" t="str">
        <f t="shared" si="1"/>
        <v>sábado</v>
      </c>
      <c r="D41" s="9">
        <v>0.0</v>
      </c>
      <c r="E41" s="10"/>
      <c r="F41" s="10"/>
      <c r="G41" s="10"/>
      <c r="H41" s="10"/>
      <c r="I41" s="10"/>
    </row>
    <row r="42" ht="15.0" customHeight="1">
      <c r="A42" s="1"/>
      <c r="B42" s="8">
        <v>46334.0</v>
      </c>
      <c r="C42" s="9" t="str">
        <f t="shared" si="1"/>
        <v>domingo</v>
      </c>
      <c r="D42" s="9">
        <v>0.0</v>
      </c>
      <c r="E42" s="10"/>
      <c r="F42" s="10"/>
      <c r="G42" s="10"/>
      <c r="H42" s="10"/>
      <c r="I42" s="10"/>
    </row>
    <row r="43" ht="27.75" customHeight="1">
      <c r="A43" s="1"/>
      <c r="B43" s="4">
        <v>46335.0</v>
      </c>
      <c r="C43" s="5" t="str">
        <f t="shared" si="1"/>
        <v>lunes</v>
      </c>
      <c r="D43" s="5">
        <v>4.0</v>
      </c>
      <c r="E43" s="6" t="s">
        <v>213</v>
      </c>
      <c r="F43" s="6" t="s">
        <v>355</v>
      </c>
      <c r="G43" s="6" t="s">
        <v>358</v>
      </c>
      <c r="H43" s="6" t="s">
        <v>360</v>
      </c>
      <c r="I43" s="6" t="s">
        <v>318</v>
      </c>
    </row>
    <row r="44" ht="27.75" customHeight="1">
      <c r="A44" s="1"/>
      <c r="B44" s="4">
        <v>46336.0</v>
      </c>
      <c r="C44" s="5" t="str">
        <f t="shared" si="1"/>
        <v>martes</v>
      </c>
      <c r="D44" s="5">
        <v>4.0</v>
      </c>
      <c r="E44" s="6" t="s">
        <v>220</v>
      </c>
      <c r="F44" s="6" t="s">
        <v>366</v>
      </c>
      <c r="G44" s="6" t="s">
        <v>368</v>
      </c>
      <c r="H44" s="6" t="s">
        <v>370</v>
      </c>
      <c r="I44" s="6" t="s">
        <v>318</v>
      </c>
    </row>
    <row r="45" ht="27.75" customHeight="1">
      <c r="A45" s="1"/>
      <c r="B45" s="4">
        <v>46337.0</v>
      </c>
      <c r="C45" s="5" t="str">
        <f t="shared" si="1"/>
        <v>miércoles</v>
      </c>
      <c r="D45" s="5">
        <v>4.0</v>
      </c>
      <c r="E45" s="6" t="s">
        <v>225</v>
      </c>
      <c r="F45" s="6" t="s">
        <v>377</v>
      </c>
      <c r="G45" s="6" t="s">
        <v>379</v>
      </c>
      <c r="H45" s="6" t="s">
        <v>370</v>
      </c>
      <c r="I45" s="6" t="s">
        <v>318</v>
      </c>
    </row>
    <row r="46" ht="27.75" customHeight="1">
      <c r="A46" s="1"/>
      <c r="B46" s="4">
        <v>46338.0</v>
      </c>
      <c r="C46" s="5" t="str">
        <f t="shared" si="1"/>
        <v>jueves</v>
      </c>
      <c r="D46" s="5">
        <v>4.0</v>
      </c>
      <c r="E46" s="6" t="s">
        <v>232</v>
      </c>
      <c r="F46" s="6" t="s">
        <v>389</v>
      </c>
      <c r="G46" s="6" t="s">
        <v>392</v>
      </c>
      <c r="H46" s="6" t="s">
        <v>393</v>
      </c>
      <c r="I46" s="6" t="s">
        <v>318</v>
      </c>
    </row>
    <row r="47" ht="27.75" customHeight="1">
      <c r="A47" s="1"/>
      <c r="B47" s="11">
        <v>46339.0</v>
      </c>
      <c r="C47" s="12" t="str">
        <f t="shared" si="1"/>
        <v>viernes</v>
      </c>
      <c r="D47" s="12">
        <v>4.0</v>
      </c>
      <c r="E47" s="13" t="s">
        <v>240</v>
      </c>
      <c r="F47" s="13" t="s">
        <v>396</v>
      </c>
      <c r="G47" s="13" t="s">
        <v>397</v>
      </c>
      <c r="H47" s="13" t="s">
        <v>398</v>
      </c>
      <c r="I47" s="13" t="s">
        <v>318</v>
      </c>
    </row>
    <row r="48" ht="15.0" customHeight="1">
      <c r="A48" s="1"/>
      <c r="B48" s="8">
        <v>46340.0</v>
      </c>
      <c r="C48" s="9" t="str">
        <f t="shared" si="1"/>
        <v>sábado</v>
      </c>
      <c r="D48" s="9">
        <v>0.0</v>
      </c>
      <c r="E48" s="10"/>
      <c r="F48" s="10"/>
      <c r="G48" s="10"/>
      <c r="H48" s="10"/>
      <c r="I48" s="10"/>
    </row>
    <row r="49" ht="15.0" customHeight="1">
      <c r="A49" s="1"/>
      <c r="B49" s="8">
        <v>46341.0</v>
      </c>
      <c r="C49" s="9" t="str">
        <f t="shared" si="1"/>
        <v>domingo</v>
      </c>
      <c r="D49" s="9">
        <v>0.0</v>
      </c>
      <c r="E49" s="10"/>
      <c r="F49" s="10"/>
      <c r="G49" s="10"/>
      <c r="H49" s="10"/>
      <c r="I49" s="10"/>
    </row>
    <row r="50" ht="27.75" customHeight="1">
      <c r="A50" s="1"/>
      <c r="B50" s="4">
        <v>46342.0</v>
      </c>
      <c r="C50" s="5" t="str">
        <f t="shared" si="1"/>
        <v>lunes</v>
      </c>
      <c r="D50" s="5">
        <v>4.0</v>
      </c>
      <c r="E50" s="6" t="s">
        <v>263</v>
      </c>
      <c r="F50" s="6" t="s">
        <v>409</v>
      </c>
      <c r="G50" s="6" t="s">
        <v>410</v>
      </c>
      <c r="H50" s="6" t="s">
        <v>411</v>
      </c>
      <c r="I50" s="6" t="s">
        <v>413</v>
      </c>
    </row>
    <row r="51" ht="27.75" customHeight="1">
      <c r="A51" s="1"/>
      <c r="B51" s="4">
        <v>46343.0</v>
      </c>
      <c r="C51" s="5" t="str">
        <f t="shared" si="1"/>
        <v>martes</v>
      </c>
      <c r="D51" s="5">
        <v>4.0</v>
      </c>
      <c r="E51" s="6" t="s">
        <v>273</v>
      </c>
      <c r="F51" s="6" t="s">
        <v>422</v>
      </c>
      <c r="G51" s="6" t="s">
        <v>423</v>
      </c>
      <c r="H51" s="6" t="s">
        <v>424</v>
      </c>
      <c r="I51" s="6" t="s">
        <v>413</v>
      </c>
    </row>
    <row r="52" ht="27.75" customHeight="1">
      <c r="A52" s="1"/>
      <c r="B52" s="4">
        <v>46344.0</v>
      </c>
      <c r="C52" s="5" t="str">
        <f t="shared" si="1"/>
        <v>miércoles</v>
      </c>
      <c r="D52" s="5">
        <v>4.0</v>
      </c>
      <c r="E52" s="6" t="s">
        <v>276</v>
      </c>
      <c r="F52" s="6" t="s">
        <v>433</v>
      </c>
      <c r="G52" s="6" t="s">
        <v>435</v>
      </c>
      <c r="H52" s="6" t="s">
        <v>370</v>
      </c>
      <c r="I52" s="6" t="s">
        <v>413</v>
      </c>
    </row>
    <row r="53" ht="15.0" customHeight="1">
      <c r="A53" s="1"/>
      <c r="B53" s="4">
        <v>46345.0</v>
      </c>
      <c r="C53" s="5" t="str">
        <f t="shared" si="1"/>
        <v>jueves</v>
      </c>
      <c r="D53" s="5">
        <v>4.0</v>
      </c>
      <c r="E53" s="6" t="s">
        <v>282</v>
      </c>
      <c r="F53" s="6" t="s">
        <v>444</v>
      </c>
      <c r="G53" s="6" t="s">
        <v>446</v>
      </c>
      <c r="H53" s="6" t="s">
        <v>370</v>
      </c>
      <c r="I53" s="6" t="s">
        <v>413</v>
      </c>
    </row>
    <row r="54" ht="15.0" customHeight="1">
      <c r="A54" s="1"/>
      <c r="B54" s="4">
        <v>46346.0</v>
      </c>
      <c r="C54" s="5" t="str">
        <f t="shared" si="1"/>
        <v>viernes</v>
      </c>
      <c r="D54" s="5">
        <v>4.0</v>
      </c>
      <c r="E54" s="6" t="s">
        <v>288</v>
      </c>
      <c r="F54" s="6" t="s">
        <v>453</v>
      </c>
      <c r="G54" s="6" t="s">
        <v>454</v>
      </c>
      <c r="H54" s="6" t="s">
        <v>370</v>
      </c>
      <c r="I54" s="6" t="s">
        <v>413</v>
      </c>
    </row>
    <row r="55" ht="15.0" customHeight="1">
      <c r="A55" s="1"/>
      <c r="B55" s="8">
        <v>46347.0</v>
      </c>
      <c r="C55" s="9" t="str">
        <f t="shared" si="1"/>
        <v>sábado</v>
      </c>
      <c r="D55" s="9">
        <v>0.0</v>
      </c>
      <c r="E55" s="10"/>
      <c r="F55" s="10"/>
      <c r="G55" s="10"/>
      <c r="H55" s="10"/>
      <c r="I55" s="10"/>
    </row>
    <row r="56" ht="15.0" customHeight="1">
      <c r="A56" s="1"/>
      <c r="B56" s="8">
        <v>46348.0</v>
      </c>
      <c r="C56" s="9" t="str">
        <f t="shared" si="1"/>
        <v>domingo</v>
      </c>
      <c r="D56" s="9">
        <v>0.0</v>
      </c>
      <c r="E56" s="10"/>
      <c r="F56" s="10"/>
      <c r="G56" s="10"/>
      <c r="H56" s="10"/>
      <c r="I56" s="10"/>
    </row>
    <row r="57" ht="27.75" customHeight="1">
      <c r="A57" s="1"/>
      <c r="B57" s="4">
        <v>46349.0</v>
      </c>
      <c r="C57" s="5" t="str">
        <f t="shared" si="1"/>
        <v>lunes</v>
      </c>
      <c r="D57" s="5">
        <v>4.0</v>
      </c>
      <c r="E57" s="6" t="s">
        <v>299</v>
      </c>
      <c r="F57" s="6" t="s">
        <v>467</v>
      </c>
      <c r="G57" s="6" t="s">
        <v>470</v>
      </c>
      <c r="H57" s="6" t="s">
        <v>370</v>
      </c>
      <c r="I57" s="6" t="s">
        <v>413</v>
      </c>
    </row>
    <row r="58" ht="27.75" customHeight="1">
      <c r="A58" s="1"/>
      <c r="B58" s="4">
        <v>46350.0</v>
      </c>
      <c r="C58" s="5" t="str">
        <f t="shared" si="1"/>
        <v>martes</v>
      </c>
      <c r="D58" s="5">
        <v>4.0</v>
      </c>
      <c r="E58" s="6" t="s">
        <v>308</v>
      </c>
      <c r="F58" s="6" t="s">
        <v>478</v>
      </c>
      <c r="G58" s="6" t="s">
        <v>481</v>
      </c>
      <c r="H58" s="6" t="s">
        <v>370</v>
      </c>
      <c r="I58" s="6" t="s">
        <v>413</v>
      </c>
    </row>
    <row r="59" ht="27.75" customHeight="1">
      <c r="A59" s="1"/>
      <c r="B59" s="4">
        <v>46351.0</v>
      </c>
      <c r="C59" s="5" t="str">
        <f t="shared" si="1"/>
        <v>miércoles</v>
      </c>
      <c r="D59" s="5">
        <v>4.0</v>
      </c>
      <c r="E59" s="6" t="s">
        <v>315</v>
      </c>
      <c r="F59" s="6" t="s">
        <v>491</v>
      </c>
      <c r="G59" s="6" t="s">
        <v>493</v>
      </c>
      <c r="H59" s="6" t="s">
        <v>370</v>
      </c>
      <c r="I59" s="6" t="s">
        <v>413</v>
      </c>
    </row>
    <row r="60" ht="27.75" customHeight="1">
      <c r="A60" s="1"/>
      <c r="B60" s="4">
        <v>46352.0</v>
      </c>
      <c r="C60" s="5" t="str">
        <f t="shared" si="1"/>
        <v>jueves</v>
      </c>
      <c r="D60" s="5">
        <v>4.0</v>
      </c>
      <c r="E60" s="6" t="s">
        <v>322</v>
      </c>
      <c r="F60" s="6" t="s">
        <v>497</v>
      </c>
      <c r="G60" s="6" t="s">
        <v>499</v>
      </c>
      <c r="H60" s="6" t="s">
        <v>500</v>
      </c>
      <c r="I60" s="6" t="s">
        <v>413</v>
      </c>
    </row>
    <row r="61" ht="27.75" customHeight="1">
      <c r="A61" s="1"/>
      <c r="B61" s="11">
        <v>46353.0</v>
      </c>
      <c r="C61" s="12" t="str">
        <f t="shared" si="1"/>
        <v>viernes</v>
      </c>
      <c r="D61" s="12">
        <v>4.0</v>
      </c>
      <c r="E61" s="13" t="s">
        <v>334</v>
      </c>
      <c r="F61" s="13" t="s">
        <v>507</v>
      </c>
      <c r="G61" s="13" t="s">
        <v>509</v>
      </c>
      <c r="H61" s="13" t="s">
        <v>398</v>
      </c>
      <c r="I61" s="13" t="s">
        <v>413</v>
      </c>
    </row>
    <row r="62" ht="15.0" customHeight="1">
      <c r="A62" s="1"/>
      <c r="B62" s="8">
        <v>46354.0</v>
      </c>
      <c r="C62" s="9" t="str">
        <f t="shared" si="1"/>
        <v>sábado</v>
      </c>
      <c r="D62" s="9">
        <v>0.0</v>
      </c>
      <c r="E62" s="10"/>
      <c r="F62" s="10"/>
      <c r="G62" s="10"/>
      <c r="H62" s="10"/>
      <c r="I62" s="10"/>
    </row>
    <row r="63" ht="15.0" customHeight="1">
      <c r="A63" s="1"/>
      <c r="B63" s="8">
        <v>46355.0</v>
      </c>
      <c r="C63" s="9" t="str">
        <f t="shared" si="1"/>
        <v>domingo</v>
      </c>
      <c r="D63" s="9">
        <v>0.0</v>
      </c>
      <c r="E63" s="10"/>
      <c r="F63" s="10"/>
      <c r="G63" s="10"/>
      <c r="H63" s="10"/>
      <c r="I63" s="10"/>
    </row>
    <row r="64" ht="15.0" customHeight="1">
      <c r="A64" s="1"/>
      <c r="B64" s="4">
        <v>46356.0</v>
      </c>
      <c r="C64" s="5" t="str">
        <f t="shared" si="1"/>
        <v>lunes</v>
      </c>
      <c r="D64" s="5">
        <v>4.0</v>
      </c>
      <c r="E64" s="6" t="s">
        <v>340</v>
      </c>
      <c r="F64" s="6" t="s">
        <v>522</v>
      </c>
      <c r="G64" s="6" t="s">
        <v>523</v>
      </c>
      <c r="H64" s="6" t="s">
        <v>370</v>
      </c>
      <c r="I64" s="6" t="s">
        <v>526</v>
      </c>
    </row>
    <row r="65" ht="15.0" customHeight="1">
      <c r="A65" s="1"/>
      <c r="B65" s="4">
        <v>46357.0</v>
      </c>
      <c r="C65" s="5" t="str">
        <f t="shared" si="1"/>
        <v>martes</v>
      </c>
      <c r="D65" s="5">
        <v>4.0</v>
      </c>
      <c r="E65" s="6" t="s">
        <v>343</v>
      </c>
      <c r="F65" s="6" t="s">
        <v>530</v>
      </c>
      <c r="G65" s="6" t="s">
        <v>531</v>
      </c>
      <c r="H65" s="6" t="s">
        <v>370</v>
      </c>
      <c r="I65" s="6" t="s">
        <v>526</v>
      </c>
    </row>
    <row r="66" ht="27.75" customHeight="1">
      <c r="A66" s="1"/>
      <c r="B66" s="4">
        <v>46358.0</v>
      </c>
      <c r="C66" s="5" t="str">
        <f t="shared" si="1"/>
        <v>miércoles</v>
      </c>
      <c r="D66" s="5">
        <v>4.0</v>
      </c>
      <c r="E66" s="6" t="s">
        <v>345</v>
      </c>
      <c r="F66" s="6" t="s">
        <v>538</v>
      </c>
      <c r="G66" s="6" t="s">
        <v>540</v>
      </c>
      <c r="H66" s="6" t="s">
        <v>543</v>
      </c>
      <c r="I66" s="6" t="s">
        <v>526</v>
      </c>
    </row>
    <row r="67" ht="27.75" customHeight="1">
      <c r="A67" s="1"/>
      <c r="B67" s="4">
        <v>46359.0</v>
      </c>
      <c r="C67" s="5" t="str">
        <f t="shared" si="1"/>
        <v>jueves</v>
      </c>
      <c r="D67" s="5">
        <v>4.0</v>
      </c>
      <c r="E67" s="6" t="s">
        <v>349</v>
      </c>
      <c r="F67" s="6" t="s">
        <v>552</v>
      </c>
      <c r="G67" s="6" t="s">
        <v>553</v>
      </c>
      <c r="H67" s="6" t="s">
        <v>555</v>
      </c>
      <c r="I67" s="6" t="s">
        <v>526</v>
      </c>
    </row>
    <row r="68" ht="27.75" customHeight="1">
      <c r="A68" s="1"/>
      <c r="B68" s="4">
        <v>46360.0</v>
      </c>
      <c r="C68" s="5" t="str">
        <f t="shared" si="1"/>
        <v>viernes</v>
      </c>
      <c r="D68" s="5">
        <v>4.0</v>
      </c>
      <c r="E68" s="6" t="s">
        <v>362</v>
      </c>
      <c r="F68" s="6" t="s">
        <v>562</v>
      </c>
      <c r="G68" s="6" t="s">
        <v>563</v>
      </c>
      <c r="H68" s="6" t="s">
        <v>370</v>
      </c>
      <c r="I68" s="6" t="s">
        <v>526</v>
      </c>
    </row>
    <row r="69" ht="15.0" customHeight="1">
      <c r="A69" s="1"/>
      <c r="B69" s="8">
        <v>46361.0</v>
      </c>
      <c r="C69" s="9" t="str">
        <f t="shared" si="1"/>
        <v>sábado</v>
      </c>
      <c r="D69" s="9">
        <v>0.0</v>
      </c>
      <c r="E69" s="10"/>
      <c r="F69" s="10"/>
      <c r="G69" s="10"/>
      <c r="H69" s="10"/>
      <c r="I69" s="10"/>
    </row>
    <row r="70" ht="15.0" customHeight="1">
      <c r="A70" s="1"/>
      <c r="B70" s="8">
        <v>46362.0</v>
      </c>
      <c r="C70" s="9" t="str">
        <f t="shared" si="1"/>
        <v>domingo</v>
      </c>
      <c r="D70" s="9">
        <v>0.0</v>
      </c>
      <c r="E70" s="10"/>
      <c r="F70" s="10"/>
      <c r="G70" s="10"/>
      <c r="H70" s="10"/>
      <c r="I70" s="10"/>
    </row>
    <row r="71" ht="27.75" customHeight="1">
      <c r="A71" s="1"/>
      <c r="B71" s="4">
        <v>46363.0</v>
      </c>
      <c r="C71" s="5" t="str">
        <f t="shared" si="1"/>
        <v>lunes</v>
      </c>
      <c r="D71" s="5">
        <v>4.0</v>
      </c>
      <c r="E71" s="6" t="s">
        <v>374</v>
      </c>
      <c r="F71" s="6" t="s">
        <v>576</v>
      </c>
      <c r="G71" s="6" t="s">
        <v>577</v>
      </c>
      <c r="H71" s="6" t="s">
        <v>370</v>
      </c>
      <c r="I71" s="6" t="s">
        <v>526</v>
      </c>
    </row>
    <row r="72" ht="27.75" customHeight="1">
      <c r="A72" s="1"/>
      <c r="B72" s="11">
        <v>46364.0</v>
      </c>
      <c r="C72" s="12" t="str">
        <f t="shared" si="1"/>
        <v>martes</v>
      </c>
      <c r="D72" s="12">
        <v>4.0</v>
      </c>
      <c r="E72" s="13" t="s">
        <v>381</v>
      </c>
      <c r="F72" s="13" t="s">
        <v>589</v>
      </c>
      <c r="G72" s="13" t="s">
        <v>591</v>
      </c>
      <c r="H72" s="13" t="s">
        <v>398</v>
      </c>
      <c r="I72" s="13" t="s">
        <v>526</v>
      </c>
    </row>
    <row r="73" ht="27.75" customHeight="1">
      <c r="A73" s="1"/>
      <c r="B73" s="4">
        <v>46365.0</v>
      </c>
      <c r="C73" s="5" t="str">
        <f t="shared" si="1"/>
        <v>miércoles</v>
      </c>
      <c r="D73" s="5">
        <v>4.0</v>
      </c>
      <c r="E73" s="6" t="s">
        <v>387</v>
      </c>
      <c r="F73" s="6" t="s">
        <v>598</v>
      </c>
      <c r="G73" s="6" t="s">
        <v>599</v>
      </c>
      <c r="H73" s="6" t="s">
        <v>370</v>
      </c>
      <c r="I73" s="6" t="s">
        <v>601</v>
      </c>
    </row>
    <row r="74" ht="15.0" customHeight="1">
      <c r="A74" s="1"/>
      <c r="B74" s="4">
        <v>46366.0</v>
      </c>
      <c r="C74" s="5" t="str">
        <f t="shared" si="1"/>
        <v>jueves</v>
      </c>
      <c r="D74" s="5">
        <v>4.0</v>
      </c>
      <c r="E74" s="6" t="s">
        <v>394</v>
      </c>
      <c r="F74" s="6" t="s">
        <v>610</v>
      </c>
      <c r="G74" s="6" t="s">
        <v>611</v>
      </c>
      <c r="H74" s="6" t="s">
        <v>370</v>
      </c>
      <c r="I74" s="6" t="s">
        <v>601</v>
      </c>
    </row>
    <row r="75" ht="27.75" customHeight="1">
      <c r="A75" s="1"/>
      <c r="B75" s="4">
        <v>46367.0</v>
      </c>
      <c r="C75" s="5" t="str">
        <f t="shared" si="1"/>
        <v>viernes</v>
      </c>
      <c r="D75" s="5">
        <v>4.0</v>
      </c>
      <c r="E75" s="6" t="s">
        <v>399</v>
      </c>
      <c r="F75" s="6" t="s">
        <v>617</v>
      </c>
      <c r="G75" s="6" t="s">
        <v>618</v>
      </c>
      <c r="H75" s="6" t="s">
        <v>619</v>
      </c>
      <c r="I75" s="6" t="s">
        <v>601</v>
      </c>
    </row>
    <row r="76" ht="15.0" customHeight="1">
      <c r="A76" s="1"/>
      <c r="B76" s="8">
        <v>46368.0</v>
      </c>
      <c r="C76" s="9" t="str">
        <f t="shared" si="1"/>
        <v>sábado</v>
      </c>
      <c r="D76" s="9">
        <v>0.0</v>
      </c>
      <c r="E76" s="10"/>
      <c r="F76" s="10"/>
      <c r="G76" s="10"/>
      <c r="H76" s="10"/>
      <c r="I76" s="10"/>
    </row>
    <row r="77" ht="15.0" customHeight="1">
      <c r="A77" s="1"/>
      <c r="B77" s="8">
        <v>46369.0</v>
      </c>
      <c r="C77" s="9" t="str">
        <f t="shared" si="1"/>
        <v>domingo</v>
      </c>
      <c r="D77" s="9">
        <v>0.0</v>
      </c>
      <c r="E77" s="10"/>
      <c r="F77" s="10"/>
      <c r="G77" s="10"/>
      <c r="H77" s="10"/>
      <c r="I77" s="10"/>
    </row>
    <row r="78" ht="27.75" customHeight="1">
      <c r="A78" s="1"/>
      <c r="B78" s="4">
        <v>46370.0</v>
      </c>
      <c r="C78" s="5" t="str">
        <f t="shared" si="1"/>
        <v>lunes</v>
      </c>
      <c r="D78" s="5">
        <v>4.0</v>
      </c>
      <c r="E78" s="6" t="s">
        <v>416</v>
      </c>
      <c r="F78" s="6" t="s">
        <v>622</v>
      </c>
      <c r="G78" s="6" t="s">
        <v>623</v>
      </c>
      <c r="H78" s="6" t="s">
        <v>370</v>
      </c>
      <c r="I78" s="6" t="s">
        <v>601</v>
      </c>
    </row>
    <row r="79" ht="27.75" customHeight="1">
      <c r="A79" s="1"/>
      <c r="B79" s="4">
        <v>46371.0</v>
      </c>
      <c r="C79" s="5" t="str">
        <f t="shared" si="1"/>
        <v>martes</v>
      </c>
      <c r="D79" s="5">
        <v>4.0</v>
      </c>
      <c r="E79" s="6" t="s">
        <v>426</v>
      </c>
      <c r="F79" s="6" t="s">
        <v>626</v>
      </c>
      <c r="G79" s="6" t="s">
        <v>627</v>
      </c>
      <c r="H79" s="6" t="s">
        <v>370</v>
      </c>
      <c r="I79" s="6" t="s">
        <v>601</v>
      </c>
    </row>
    <row r="80" ht="27.75" customHeight="1">
      <c r="A80" s="1"/>
      <c r="B80" s="4">
        <v>46372.0</v>
      </c>
      <c r="C80" s="5" t="str">
        <f t="shared" si="1"/>
        <v>miércoles</v>
      </c>
      <c r="D80" s="5">
        <v>4.0</v>
      </c>
      <c r="E80" s="6" t="s">
        <v>434</v>
      </c>
      <c r="F80" s="6" t="s">
        <v>630</v>
      </c>
      <c r="G80" s="6" t="s">
        <v>631</v>
      </c>
      <c r="H80" s="6" t="s">
        <v>633</v>
      </c>
      <c r="I80" s="6" t="s">
        <v>601</v>
      </c>
    </row>
    <row r="81" ht="27.75" customHeight="1">
      <c r="A81" s="1"/>
      <c r="B81" s="4">
        <v>46373.0</v>
      </c>
      <c r="C81" s="5" t="str">
        <f t="shared" si="1"/>
        <v>jueves</v>
      </c>
      <c r="D81" s="5">
        <v>4.0</v>
      </c>
      <c r="E81" s="6" t="s">
        <v>440</v>
      </c>
      <c r="F81" s="6" t="s">
        <v>637</v>
      </c>
      <c r="G81" s="6" t="s">
        <v>638</v>
      </c>
      <c r="H81" s="6" t="s">
        <v>370</v>
      </c>
      <c r="I81" s="6" t="s">
        <v>601</v>
      </c>
    </row>
    <row r="82" ht="27.75" customHeight="1">
      <c r="A82" s="1"/>
      <c r="B82" s="11">
        <v>46374.0</v>
      </c>
      <c r="C82" s="12" t="str">
        <f t="shared" si="1"/>
        <v>viernes</v>
      </c>
      <c r="D82" s="12">
        <v>4.0</v>
      </c>
      <c r="E82" s="13" t="s">
        <v>449</v>
      </c>
      <c r="F82" s="13" t="s">
        <v>644</v>
      </c>
      <c r="G82" s="13" t="s">
        <v>645</v>
      </c>
      <c r="H82" s="13" t="s">
        <v>445</v>
      </c>
      <c r="I82" s="13" t="s">
        <v>601</v>
      </c>
    </row>
    <row r="83" ht="15.0" customHeight="1">
      <c r="A83" s="1"/>
      <c r="B83" s="8">
        <v>46375.0</v>
      </c>
      <c r="C83" s="9" t="str">
        <f t="shared" si="1"/>
        <v>sábado</v>
      </c>
      <c r="D83" s="9">
        <v>0.0</v>
      </c>
      <c r="E83" s="10"/>
      <c r="F83" s="10"/>
      <c r="G83" s="10"/>
      <c r="H83" s="10"/>
      <c r="I83" s="10"/>
    </row>
    <row r="84" ht="15.0" customHeight="1">
      <c r="A84" s="1"/>
      <c r="B84" s="8">
        <v>46376.0</v>
      </c>
      <c r="C84" s="9" t="str">
        <f t="shared" si="1"/>
        <v>domingo</v>
      </c>
      <c r="D84" s="9">
        <v>0.0</v>
      </c>
      <c r="E84" s="10"/>
      <c r="F84" s="10"/>
      <c r="G84" s="10"/>
      <c r="H84" s="10"/>
      <c r="I84" s="10"/>
    </row>
    <row r="85" ht="27.75" customHeight="1">
      <c r="A85" s="1"/>
      <c r="B85" s="4">
        <v>46377.0</v>
      </c>
      <c r="C85" s="5" t="str">
        <f t="shared" si="1"/>
        <v>lunes</v>
      </c>
      <c r="D85" s="5">
        <v>4.0</v>
      </c>
      <c r="E85" s="6" t="s">
        <v>455</v>
      </c>
      <c r="F85" s="6" t="s">
        <v>653</v>
      </c>
      <c r="G85" s="6" t="s">
        <v>656</v>
      </c>
      <c r="H85" s="6" t="s">
        <v>657</v>
      </c>
      <c r="I85" s="6" t="s">
        <v>658</v>
      </c>
    </row>
    <row r="86" ht="27.75" customHeight="1">
      <c r="A86" s="1"/>
      <c r="B86" s="4">
        <v>46378.0</v>
      </c>
      <c r="C86" s="5" t="str">
        <f t="shared" si="1"/>
        <v>martes</v>
      </c>
      <c r="D86" s="5">
        <v>4.0</v>
      </c>
      <c r="E86" s="6" t="s">
        <v>459</v>
      </c>
      <c r="F86" s="6" t="s">
        <v>660</v>
      </c>
      <c r="G86" s="6" t="s">
        <v>662</v>
      </c>
      <c r="H86" s="6" t="s">
        <v>663</v>
      </c>
      <c r="I86" s="6" t="s">
        <v>658</v>
      </c>
    </row>
    <row r="87" ht="27.75" customHeight="1">
      <c r="A87" s="1"/>
      <c r="B87" s="4">
        <v>46379.0</v>
      </c>
      <c r="C87" s="5" t="str">
        <f t="shared" si="1"/>
        <v>miércoles</v>
      </c>
      <c r="D87" s="5">
        <v>4.0</v>
      </c>
      <c r="E87" s="6" t="s">
        <v>472</v>
      </c>
      <c r="F87" s="6" t="s">
        <v>666</v>
      </c>
      <c r="G87" s="6" t="s">
        <v>668</v>
      </c>
      <c r="H87" s="6" t="s">
        <v>669</v>
      </c>
      <c r="I87" s="6" t="s">
        <v>658</v>
      </c>
    </row>
    <row r="88" ht="27.75" customHeight="1">
      <c r="A88" s="1"/>
      <c r="B88" s="4">
        <v>46380.0</v>
      </c>
      <c r="C88" s="5" t="str">
        <f t="shared" si="1"/>
        <v>jueves</v>
      </c>
      <c r="D88" s="5">
        <v>4.0</v>
      </c>
      <c r="E88" s="6" t="s">
        <v>483</v>
      </c>
      <c r="F88" s="6" t="s">
        <v>674</v>
      </c>
      <c r="G88" s="6" t="s">
        <v>675</v>
      </c>
      <c r="H88" s="6" t="s">
        <v>676</v>
      </c>
      <c r="I88" s="6" t="s">
        <v>658</v>
      </c>
    </row>
    <row r="89" ht="15.0" customHeight="1">
      <c r="A89" s="1"/>
      <c r="B89" s="8">
        <v>46381.0</v>
      </c>
      <c r="C89" s="9" t="str">
        <f t="shared" si="1"/>
        <v>viernes</v>
      </c>
      <c r="D89" s="9">
        <v>0.0</v>
      </c>
      <c r="E89" s="10" t="s">
        <v>487</v>
      </c>
      <c r="F89" s="10"/>
      <c r="G89" s="10"/>
      <c r="H89" s="10"/>
      <c r="I89" s="10"/>
    </row>
    <row r="90" ht="15.0" customHeight="1">
      <c r="A90" s="1"/>
      <c r="B90" s="8">
        <v>46382.0</v>
      </c>
      <c r="C90" s="9" t="str">
        <f t="shared" si="1"/>
        <v>sábado</v>
      </c>
      <c r="D90" s="9">
        <v>0.0</v>
      </c>
      <c r="E90" s="10"/>
      <c r="F90" s="10"/>
      <c r="G90" s="10"/>
      <c r="H90" s="10"/>
      <c r="I90" s="10"/>
    </row>
    <row r="91" ht="15.0" customHeight="1">
      <c r="A91" s="1"/>
      <c r="B91" s="8">
        <v>46383.0</v>
      </c>
      <c r="C91" s="9" t="str">
        <f t="shared" si="1"/>
        <v>domingo</v>
      </c>
      <c r="D91" s="9">
        <v>0.0</v>
      </c>
      <c r="E91" s="10"/>
      <c r="F91" s="10"/>
      <c r="G91" s="10"/>
      <c r="H91" s="10"/>
      <c r="I91" s="10"/>
    </row>
    <row r="92" ht="27.75" customHeight="1">
      <c r="A92" s="1"/>
      <c r="B92" s="4">
        <v>46384.0</v>
      </c>
      <c r="C92" s="5" t="str">
        <f t="shared" si="1"/>
        <v>lunes</v>
      </c>
      <c r="D92" s="5">
        <v>4.0</v>
      </c>
      <c r="E92" s="6" t="s">
        <v>501</v>
      </c>
      <c r="F92" s="6" t="s">
        <v>689</v>
      </c>
      <c r="G92" s="6" t="s">
        <v>691</v>
      </c>
      <c r="H92" s="6" t="s">
        <v>370</v>
      </c>
      <c r="I92" s="6" t="s">
        <v>658</v>
      </c>
    </row>
    <row r="93" ht="27.75" customHeight="1">
      <c r="A93" s="1"/>
      <c r="B93" s="11">
        <v>46385.0</v>
      </c>
      <c r="C93" s="12" t="str">
        <f t="shared" si="1"/>
        <v>martes</v>
      </c>
      <c r="D93" s="12">
        <v>4.0</v>
      </c>
      <c r="E93" s="13" t="s">
        <v>510</v>
      </c>
      <c r="F93" s="13" t="s">
        <v>699</v>
      </c>
      <c r="G93" s="13" t="s">
        <v>700</v>
      </c>
      <c r="H93" s="13" t="s">
        <v>701</v>
      </c>
      <c r="I93" s="13" t="s">
        <v>658</v>
      </c>
    </row>
    <row r="94" ht="27.75" customHeight="1">
      <c r="A94" s="1"/>
      <c r="B94" s="4">
        <v>46386.0</v>
      </c>
      <c r="C94" s="5" t="str">
        <f t="shared" si="1"/>
        <v>miércoles</v>
      </c>
      <c r="D94" s="5">
        <v>4.0</v>
      </c>
      <c r="E94" s="6" t="s">
        <v>513</v>
      </c>
      <c r="F94" s="6" t="s">
        <v>705</v>
      </c>
      <c r="G94" s="6" t="s">
        <v>706</v>
      </c>
      <c r="H94" s="6" t="s">
        <v>370</v>
      </c>
      <c r="I94" s="6" t="s">
        <v>707</v>
      </c>
    </row>
    <row r="95" ht="15.0" customHeight="1">
      <c r="A95" s="1"/>
      <c r="B95" s="4">
        <v>46387.0</v>
      </c>
      <c r="C95" s="5" t="str">
        <f t="shared" si="1"/>
        <v>jueves</v>
      </c>
      <c r="D95" s="5">
        <v>4.0</v>
      </c>
      <c r="E95" s="6" t="s">
        <v>517</v>
      </c>
      <c r="F95" s="6" t="s">
        <v>710</v>
      </c>
      <c r="G95" s="6" t="s">
        <v>711</v>
      </c>
      <c r="H95" s="6" t="s">
        <v>370</v>
      </c>
      <c r="I95" s="6" t="s">
        <v>707</v>
      </c>
    </row>
    <row r="96" ht="15.0" customHeight="1">
      <c r="A96" s="1"/>
      <c r="B96" s="8">
        <v>46388.0</v>
      </c>
      <c r="C96" s="9" t="str">
        <f t="shared" si="1"/>
        <v>viernes</v>
      </c>
      <c r="D96" s="9">
        <v>0.0</v>
      </c>
      <c r="E96" s="10" t="s">
        <v>519</v>
      </c>
      <c r="F96" s="10"/>
      <c r="G96" s="10"/>
      <c r="H96" s="10"/>
      <c r="I96" s="10"/>
    </row>
    <row r="97" ht="15.0" customHeight="1">
      <c r="A97" s="1"/>
      <c r="B97" s="8">
        <v>46389.0</v>
      </c>
      <c r="C97" s="9" t="str">
        <f t="shared" si="1"/>
        <v>sábado</v>
      </c>
      <c r="D97" s="9">
        <v>0.0</v>
      </c>
      <c r="E97" s="10"/>
      <c r="F97" s="10"/>
      <c r="G97" s="10"/>
      <c r="H97" s="10"/>
      <c r="I97" s="10"/>
    </row>
    <row r="98" ht="15.0" customHeight="1">
      <c r="A98" s="1"/>
      <c r="B98" s="8">
        <v>46390.0</v>
      </c>
      <c r="C98" s="9" t="str">
        <f t="shared" si="1"/>
        <v>domingo</v>
      </c>
      <c r="D98" s="9">
        <v>0.0</v>
      </c>
      <c r="E98" s="10"/>
      <c r="F98" s="10"/>
      <c r="G98" s="10"/>
      <c r="H98" s="10"/>
      <c r="I98" s="10"/>
    </row>
    <row r="99" ht="27.75" customHeight="1">
      <c r="A99" s="1"/>
      <c r="B99" s="4">
        <v>46391.0</v>
      </c>
      <c r="C99" s="5" t="str">
        <f t="shared" si="1"/>
        <v>lunes</v>
      </c>
      <c r="D99" s="5">
        <v>4.0</v>
      </c>
      <c r="E99" s="6" t="s">
        <v>533</v>
      </c>
      <c r="F99" s="6" t="s">
        <v>723</v>
      </c>
      <c r="G99" s="6" t="s">
        <v>724</v>
      </c>
      <c r="H99" s="6" t="s">
        <v>676</v>
      </c>
      <c r="I99" s="6" t="s">
        <v>707</v>
      </c>
    </row>
    <row r="100" ht="15.0" customHeight="1">
      <c r="A100" s="1"/>
      <c r="B100" s="4">
        <v>46392.0</v>
      </c>
      <c r="C100" s="5" t="str">
        <f t="shared" si="1"/>
        <v>martes</v>
      </c>
      <c r="D100" s="5">
        <v>4.0</v>
      </c>
      <c r="E100" s="6" t="s">
        <v>539</v>
      </c>
      <c r="F100" s="6" t="s">
        <v>730</v>
      </c>
      <c r="G100" s="6" t="s">
        <v>731</v>
      </c>
      <c r="H100" s="6" t="s">
        <v>732</v>
      </c>
      <c r="I100" s="6" t="s">
        <v>707</v>
      </c>
    </row>
    <row r="101" ht="27.75" customHeight="1">
      <c r="A101" s="1"/>
      <c r="B101" s="4">
        <v>46393.0</v>
      </c>
      <c r="C101" s="5" t="str">
        <f t="shared" si="1"/>
        <v>miércoles</v>
      </c>
      <c r="D101" s="5">
        <v>4.0</v>
      </c>
      <c r="E101" s="6" t="s">
        <v>549</v>
      </c>
      <c r="F101" s="6" t="s">
        <v>737</v>
      </c>
      <c r="G101" s="6" t="s">
        <v>738</v>
      </c>
      <c r="H101" s="6" t="s">
        <v>739</v>
      </c>
      <c r="I101" s="6" t="s">
        <v>707</v>
      </c>
    </row>
    <row r="102" ht="27.75" customHeight="1">
      <c r="A102" s="1"/>
      <c r="B102" s="4">
        <v>46394.0</v>
      </c>
      <c r="C102" s="5" t="str">
        <f t="shared" si="1"/>
        <v>jueves</v>
      </c>
      <c r="D102" s="5">
        <v>4.0</v>
      </c>
      <c r="E102" s="6" t="s">
        <v>557</v>
      </c>
      <c r="F102" s="6" t="s">
        <v>742</v>
      </c>
      <c r="G102" s="6" t="s">
        <v>743</v>
      </c>
      <c r="H102" s="6" t="s">
        <v>744</v>
      </c>
      <c r="I102" s="6" t="s">
        <v>707</v>
      </c>
    </row>
    <row r="103" ht="27.75" customHeight="1">
      <c r="A103" s="1"/>
      <c r="B103" s="11">
        <v>46395.0</v>
      </c>
      <c r="C103" s="12" t="str">
        <f t="shared" si="1"/>
        <v>viernes</v>
      </c>
      <c r="D103" s="12">
        <v>4.0</v>
      </c>
      <c r="E103" s="13" t="s">
        <v>564</v>
      </c>
      <c r="F103" s="13" t="s">
        <v>746</v>
      </c>
      <c r="G103" s="13" t="s">
        <v>748</v>
      </c>
      <c r="H103" s="13" t="s">
        <v>445</v>
      </c>
      <c r="I103" s="13" t="s">
        <v>707</v>
      </c>
    </row>
    <row r="104" ht="15.0" customHeight="1">
      <c r="A104" s="1"/>
      <c r="B104" s="8">
        <v>46396.0</v>
      </c>
      <c r="C104" s="9" t="str">
        <f t="shared" si="1"/>
        <v>sábado</v>
      </c>
      <c r="D104" s="9">
        <v>0.0</v>
      </c>
      <c r="E104" s="10"/>
      <c r="F104" s="10"/>
      <c r="G104" s="10"/>
      <c r="H104" s="10"/>
      <c r="I104" s="10"/>
    </row>
    <row r="105" ht="15.0" customHeight="1">
      <c r="A105" s="1"/>
      <c r="B105" s="8">
        <v>46397.0</v>
      </c>
      <c r="C105" s="9" t="str">
        <f t="shared" si="1"/>
        <v>domingo</v>
      </c>
      <c r="D105" s="9">
        <v>0.0</v>
      </c>
      <c r="E105" s="10"/>
      <c r="F105" s="10"/>
      <c r="G105" s="10"/>
      <c r="H105" s="10"/>
      <c r="I105" s="10"/>
    </row>
    <row r="106" ht="27.75" customHeight="1">
      <c r="A106" s="1"/>
      <c r="B106" s="4">
        <v>46398.0</v>
      </c>
      <c r="C106" s="5" t="str">
        <f t="shared" si="1"/>
        <v>lunes</v>
      </c>
      <c r="D106" s="5">
        <v>4.0</v>
      </c>
      <c r="E106" s="6" t="s">
        <v>570</v>
      </c>
      <c r="F106" s="6" t="s">
        <v>758</v>
      </c>
      <c r="G106" s="6" t="s">
        <v>760</v>
      </c>
      <c r="H106" s="6" t="s">
        <v>761</v>
      </c>
      <c r="I106" s="6" t="s">
        <v>762</v>
      </c>
    </row>
    <row r="107" ht="15.0" customHeight="1">
      <c r="A107" s="1"/>
      <c r="B107" s="4">
        <v>46399.0</v>
      </c>
      <c r="C107" s="5" t="str">
        <f t="shared" si="1"/>
        <v>martes</v>
      </c>
      <c r="D107" s="5">
        <v>4.0</v>
      </c>
      <c r="E107" s="6" t="s">
        <v>579</v>
      </c>
      <c r="F107" s="6" t="s">
        <v>766</v>
      </c>
      <c r="G107" s="6" t="s">
        <v>768</v>
      </c>
      <c r="H107" s="6" t="s">
        <v>769</v>
      </c>
      <c r="I107" s="6" t="s">
        <v>762</v>
      </c>
    </row>
    <row r="108" ht="27.75" customHeight="1">
      <c r="A108" s="1"/>
      <c r="B108" s="4">
        <v>46400.0</v>
      </c>
      <c r="C108" s="5" t="str">
        <f t="shared" si="1"/>
        <v>miércoles</v>
      </c>
      <c r="D108" s="5">
        <v>4.0</v>
      </c>
      <c r="E108" s="6" t="s">
        <v>586</v>
      </c>
      <c r="F108" s="6" t="s">
        <v>770</v>
      </c>
      <c r="G108" s="6" t="s">
        <v>771</v>
      </c>
      <c r="H108" s="6" t="s">
        <v>772</v>
      </c>
      <c r="I108" s="6" t="s">
        <v>762</v>
      </c>
    </row>
    <row r="109" ht="15.0" customHeight="1">
      <c r="A109" s="1"/>
      <c r="B109" s="4">
        <v>46401.0</v>
      </c>
      <c r="C109" s="5" t="str">
        <f t="shared" si="1"/>
        <v>jueves</v>
      </c>
      <c r="D109" s="5">
        <v>4.0</v>
      </c>
      <c r="E109" s="6" t="s">
        <v>593</v>
      </c>
      <c r="F109" s="6" t="s">
        <v>774</v>
      </c>
      <c r="G109" s="6" t="s">
        <v>775</v>
      </c>
      <c r="H109" s="6" t="s">
        <v>776</v>
      </c>
      <c r="I109" s="6" t="s">
        <v>762</v>
      </c>
    </row>
    <row r="110" ht="15.0" customHeight="1">
      <c r="A110" s="1"/>
      <c r="B110" s="4">
        <v>46402.0</v>
      </c>
      <c r="C110" s="5" t="str">
        <f t="shared" si="1"/>
        <v>viernes</v>
      </c>
      <c r="D110" s="5">
        <v>4.0</v>
      </c>
      <c r="E110" s="6" t="s">
        <v>602</v>
      </c>
      <c r="F110" s="6" t="s">
        <v>777</v>
      </c>
      <c r="G110" s="6" t="s">
        <v>778</v>
      </c>
      <c r="H110" s="6" t="s">
        <v>779</v>
      </c>
      <c r="I110" s="6" t="s">
        <v>762</v>
      </c>
    </row>
    <row r="111" ht="15.0" customHeight="1">
      <c r="A111" s="1"/>
      <c r="B111" s="1"/>
      <c r="C111" s="15" t="s">
        <v>608</v>
      </c>
      <c r="D111" s="15">
        <f>SUM(D3:D110)</f>
        <v>292</v>
      </c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hyperlinks>
    <hyperlink r:id="rId1" ref="G1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3" width="10.0"/>
    <col customWidth="1" min="4" max="4" width="8.0"/>
    <col customWidth="1" min="5" max="5" width="38.0"/>
    <col customWidth="1" min="6" max="6" width="60.0"/>
    <col customWidth="1" min="7" max="7" width="36.0"/>
    <col customWidth="1" min="8" max="8" width="42.0"/>
    <col customWidth="1" min="9" max="9" width="24.0"/>
    <col customWidth="1" min="10" max="26" width="8.71"/>
  </cols>
  <sheetData>
    <row r="1" ht="15.0" customHeight="1">
      <c r="A1" s="1"/>
      <c r="B1" s="3" t="s">
        <v>8</v>
      </c>
      <c r="C1" s="1"/>
      <c r="D1" s="1"/>
      <c r="E1" s="1"/>
      <c r="F1" s="1"/>
      <c r="G1" s="7" t="s">
        <v>10</v>
      </c>
      <c r="H1" s="1"/>
      <c r="I1" s="1"/>
    </row>
    <row r="2" ht="15.0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21</v>
      </c>
      <c r="G2" s="2" t="s">
        <v>4</v>
      </c>
      <c r="H2" s="2" t="s">
        <v>5</v>
      </c>
      <c r="I2" s="2" t="s">
        <v>6</v>
      </c>
    </row>
    <row r="3" ht="27.75" customHeight="1">
      <c r="A3" s="1"/>
      <c r="B3" s="4">
        <v>46295.0</v>
      </c>
      <c r="C3" s="5" t="str">
        <f t="shared" ref="C3:C110" si="1">CHOOSE(WEEKDAY(B3,2),"lunes","martes","miércoles","jueves","viernes","sábado","domingo")</f>
        <v>miércoles</v>
      </c>
      <c r="D3" s="5">
        <v>4.0</v>
      </c>
      <c r="E3" s="6" t="s">
        <v>11</v>
      </c>
      <c r="F3" s="6" t="s">
        <v>57</v>
      </c>
      <c r="G3" s="6" t="s">
        <v>58</v>
      </c>
      <c r="H3" s="6" t="s">
        <v>61</v>
      </c>
      <c r="I3" s="6" t="s">
        <v>64</v>
      </c>
    </row>
    <row r="4" ht="15.0" customHeight="1">
      <c r="A4" s="1"/>
      <c r="B4" s="4">
        <v>46296.0</v>
      </c>
      <c r="C4" s="5" t="str">
        <f t="shared" si="1"/>
        <v>jueves</v>
      </c>
      <c r="D4" s="5">
        <v>4.0</v>
      </c>
      <c r="E4" s="6" t="s">
        <v>15</v>
      </c>
      <c r="F4" s="6" t="s">
        <v>70</v>
      </c>
      <c r="G4" s="6" t="s">
        <v>71</v>
      </c>
      <c r="H4" s="6" t="s">
        <v>48</v>
      </c>
      <c r="I4" s="6" t="s">
        <v>64</v>
      </c>
    </row>
    <row r="5" ht="27.75" customHeight="1">
      <c r="A5" s="1"/>
      <c r="B5" s="4">
        <v>46297.0</v>
      </c>
      <c r="C5" s="5" t="str">
        <f t="shared" si="1"/>
        <v>viernes</v>
      </c>
      <c r="D5" s="5">
        <v>4.0</v>
      </c>
      <c r="E5" s="6" t="s">
        <v>18</v>
      </c>
      <c r="F5" s="6" t="s">
        <v>83</v>
      </c>
      <c r="G5" s="6" t="s">
        <v>84</v>
      </c>
      <c r="H5" s="6" t="s">
        <v>53</v>
      </c>
      <c r="I5" s="6" t="s">
        <v>64</v>
      </c>
    </row>
    <row r="6" ht="15.0" customHeight="1">
      <c r="A6" s="1"/>
      <c r="B6" s="8">
        <v>46298.0</v>
      </c>
      <c r="C6" s="9" t="str">
        <f t="shared" si="1"/>
        <v>sábado</v>
      </c>
      <c r="D6" s="9">
        <v>0.0</v>
      </c>
      <c r="E6" s="10"/>
      <c r="F6" s="10"/>
      <c r="G6" s="10"/>
      <c r="H6" s="10"/>
      <c r="I6" s="10"/>
    </row>
    <row r="7" ht="15.0" customHeight="1">
      <c r="A7" s="1"/>
      <c r="B7" s="8">
        <v>46299.0</v>
      </c>
      <c r="C7" s="9" t="str">
        <f t="shared" si="1"/>
        <v>domingo</v>
      </c>
      <c r="D7" s="9">
        <v>0.0</v>
      </c>
      <c r="E7" s="10"/>
      <c r="F7" s="10"/>
      <c r="G7" s="10"/>
      <c r="H7" s="10"/>
      <c r="I7" s="10"/>
    </row>
    <row r="8" ht="15.0" customHeight="1">
      <c r="A8" s="1"/>
      <c r="B8" s="4">
        <v>46300.0</v>
      </c>
      <c r="C8" s="5" t="str">
        <f t="shared" si="1"/>
        <v>lunes</v>
      </c>
      <c r="D8" s="5">
        <v>4.0</v>
      </c>
      <c r="E8" s="6" t="s">
        <v>22</v>
      </c>
      <c r="F8" s="6" t="s">
        <v>115</v>
      </c>
      <c r="G8" s="6" t="s">
        <v>119</v>
      </c>
      <c r="H8" s="6" t="s">
        <v>77</v>
      </c>
      <c r="I8" s="6" t="s">
        <v>64</v>
      </c>
    </row>
    <row r="9" ht="27.75" customHeight="1">
      <c r="A9" s="1"/>
      <c r="B9" s="11">
        <v>46301.0</v>
      </c>
      <c r="C9" s="12" t="str">
        <f t="shared" si="1"/>
        <v>martes</v>
      </c>
      <c r="D9" s="12">
        <v>4.0</v>
      </c>
      <c r="E9" s="13" t="s">
        <v>25</v>
      </c>
      <c r="F9" s="13" t="s">
        <v>129</v>
      </c>
      <c r="G9" s="13" t="s">
        <v>131</v>
      </c>
      <c r="H9" s="13" t="s">
        <v>132</v>
      </c>
      <c r="I9" s="13" t="s">
        <v>64</v>
      </c>
    </row>
    <row r="10" ht="15.0" customHeight="1">
      <c r="A10" s="1"/>
      <c r="B10" s="4">
        <v>46302.0</v>
      </c>
      <c r="C10" s="5" t="str">
        <f t="shared" si="1"/>
        <v>miércoles</v>
      </c>
      <c r="D10" s="5">
        <v>4.0</v>
      </c>
      <c r="E10" s="6" t="s">
        <v>33</v>
      </c>
      <c r="F10" s="6" t="s">
        <v>138</v>
      </c>
      <c r="G10" s="6" t="s">
        <v>139</v>
      </c>
      <c r="H10" s="6" t="s">
        <v>93</v>
      </c>
      <c r="I10" s="6" t="s">
        <v>141</v>
      </c>
    </row>
    <row r="11" ht="27.75" customHeight="1">
      <c r="A11" s="1"/>
      <c r="B11" s="4">
        <v>46303.0</v>
      </c>
      <c r="C11" s="5" t="str">
        <f t="shared" si="1"/>
        <v>jueves</v>
      </c>
      <c r="D11" s="5">
        <v>4.0</v>
      </c>
      <c r="E11" s="6" t="s">
        <v>41</v>
      </c>
      <c r="F11" s="6" t="s">
        <v>144</v>
      </c>
      <c r="G11" s="6" t="s">
        <v>146</v>
      </c>
      <c r="H11" s="6" t="s">
        <v>100</v>
      </c>
      <c r="I11" s="6" t="s">
        <v>101</v>
      </c>
    </row>
    <row r="12" ht="15.0" customHeight="1">
      <c r="A12" s="1"/>
      <c r="B12" s="8">
        <v>46304.0</v>
      </c>
      <c r="C12" s="9" t="str">
        <f t="shared" si="1"/>
        <v>viernes</v>
      </c>
      <c r="D12" s="9">
        <v>0.0</v>
      </c>
      <c r="E12" s="10" t="s">
        <v>50</v>
      </c>
      <c r="F12" s="10"/>
      <c r="G12" s="10"/>
      <c r="H12" s="10"/>
      <c r="I12" s="10"/>
    </row>
    <row r="13" ht="15.0" customHeight="1">
      <c r="A13" s="1"/>
      <c r="B13" s="8">
        <v>46305.0</v>
      </c>
      <c r="C13" s="9" t="str">
        <f t="shared" si="1"/>
        <v>sábado</v>
      </c>
      <c r="D13" s="9">
        <v>0.0</v>
      </c>
      <c r="E13" s="10"/>
      <c r="F13" s="10"/>
      <c r="G13" s="10"/>
      <c r="H13" s="10"/>
      <c r="I13" s="10"/>
    </row>
    <row r="14" ht="15.0" customHeight="1">
      <c r="A14" s="1"/>
      <c r="B14" s="8">
        <v>46306.0</v>
      </c>
      <c r="C14" s="9" t="str">
        <f t="shared" si="1"/>
        <v>domingo</v>
      </c>
      <c r="D14" s="9">
        <v>0.0</v>
      </c>
      <c r="E14" s="10"/>
      <c r="F14" s="10"/>
      <c r="G14" s="10"/>
      <c r="H14" s="10"/>
      <c r="I14" s="10"/>
    </row>
    <row r="15" ht="15.0" customHeight="1">
      <c r="A15" s="1"/>
      <c r="B15" s="4">
        <v>46307.0</v>
      </c>
      <c r="C15" s="5" t="str">
        <f t="shared" si="1"/>
        <v>lunes</v>
      </c>
      <c r="D15" s="5">
        <v>4.0</v>
      </c>
      <c r="E15" s="6" t="s">
        <v>59</v>
      </c>
      <c r="F15" s="6" t="s">
        <v>170</v>
      </c>
      <c r="G15" s="6" t="s">
        <v>171</v>
      </c>
      <c r="H15" s="6" t="s">
        <v>126</v>
      </c>
      <c r="I15" s="6" t="s">
        <v>63</v>
      </c>
    </row>
    <row r="16" ht="27.75" customHeight="1">
      <c r="A16" s="1"/>
      <c r="B16" s="4">
        <v>46308.0</v>
      </c>
      <c r="C16" s="5" t="str">
        <f t="shared" si="1"/>
        <v>martes</v>
      </c>
      <c r="D16" s="5">
        <v>4.0</v>
      </c>
      <c r="E16" s="6" t="s">
        <v>65</v>
      </c>
      <c r="F16" s="6" t="s">
        <v>177</v>
      </c>
      <c r="G16" s="6" t="s">
        <v>178</v>
      </c>
      <c r="H16" s="6" t="s">
        <v>126</v>
      </c>
      <c r="I16" s="6" t="s">
        <v>63</v>
      </c>
    </row>
    <row r="17" ht="15.0" customHeight="1">
      <c r="A17" s="1"/>
      <c r="B17" s="4">
        <v>46309.0</v>
      </c>
      <c r="C17" s="5" t="str">
        <f t="shared" si="1"/>
        <v>miércoles</v>
      </c>
      <c r="D17" s="5">
        <v>4.0</v>
      </c>
      <c r="E17" s="6" t="s">
        <v>67</v>
      </c>
      <c r="F17" s="6" t="s">
        <v>187</v>
      </c>
      <c r="G17" s="6" t="s">
        <v>189</v>
      </c>
      <c r="H17" s="6" t="s">
        <v>190</v>
      </c>
      <c r="I17" s="6" t="s">
        <v>141</v>
      </c>
    </row>
    <row r="18" ht="15.0" customHeight="1">
      <c r="A18" s="1"/>
      <c r="B18" s="4">
        <v>46310.0</v>
      </c>
      <c r="C18" s="5" t="str">
        <f t="shared" si="1"/>
        <v>jueves</v>
      </c>
      <c r="D18" s="5">
        <v>4.0</v>
      </c>
      <c r="E18" s="6" t="s">
        <v>72</v>
      </c>
      <c r="F18" s="6" t="s">
        <v>194</v>
      </c>
      <c r="G18" s="6" t="s">
        <v>196</v>
      </c>
      <c r="H18" s="6" t="s">
        <v>151</v>
      </c>
      <c r="I18" s="6" t="s">
        <v>153</v>
      </c>
    </row>
    <row r="19" ht="15.0" customHeight="1">
      <c r="A19" s="1"/>
      <c r="B19" s="4">
        <v>46311.0</v>
      </c>
      <c r="C19" s="5" t="str">
        <f t="shared" si="1"/>
        <v>viernes</v>
      </c>
      <c r="D19" s="5">
        <v>4.0</v>
      </c>
      <c r="E19" s="6" t="s">
        <v>80</v>
      </c>
      <c r="F19" s="6" t="s">
        <v>203</v>
      </c>
      <c r="G19" s="6" t="s">
        <v>205</v>
      </c>
      <c r="H19" s="6" t="s">
        <v>160</v>
      </c>
      <c r="I19" s="6" t="s">
        <v>141</v>
      </c>
    </row>
    <row r="20" ht="15.0" customHeight="1">
      <c r="A20" s="1"/>
      <c r="B20" s="8">
        <v>46312.0</v>
      </c>
      <c r="C20" s="9" t="str">
        <f t="shared" si="1"/>
        <v>sábado</v>
      </c>
      <c r="D20" s="9">
        <v>0.0</v>
      </c>
      <c r="E20" s="10"/>
      <c r="F20" s="10"/>
      <c r="G20" s="10"/>
      <c r="H20" s="10"/>
      <c r="I20" s="10"/>
    </row>
    <row r="21" ht="15.0" customHeight="1">
      <c r="A21" s="1"/>
      <c r="B21" s="8">
        <v>46313.0</v>
      </c>
      <c r="C21" s="9" t="str">
        <f t="shared" si="1"/>
        <v>domingo</v>
      </c>
      <c r="D21" s="9">
        <v>0.0</v>
      </c>
      <c r="E21" s="10"/>
      <c r="F21" s="10"/>
      <c r="G21" s="10"/>
      <c r="H21" s="10"/>
      <c r="I21" s="10"/>
    </row>
    <row r="22" ht="27.75" customHeight="1">
      <c r="A22" s="1"/>
      <c r="B22" s="4">
        <v>46314.0</v>
      </c>
      <c r="C22" s="5" t="str">
        <f t="shared" si="1"/>
        <v>lunes</v>
      </c>
      <c r="D22" s="5">
        <v>4.0</v>
      </c>
      <c r="E22" s="6" t="s">
        <v>88</v>
      </c>
      <c r="F22" s="6" t="s">
        <v>223</v>
      </c>
      <c r="G22" s="6" t="s">
        <v>224</v>
      </c>
      <c r="H22" s="6" t="s">
        <v>114</v>
      </c>
      <c r="I22" s="6" t="s">
        <v>141</v>
      </c>
    </row>
    <row r="23" ht="41.25" customHeight="1">
      <c r="A23" s="1"/>
      <c r="B23" s="11">
        <v>46315.0</v>
      </c>
      <c r="C23" s="12" t="str">
        <f t="shared" si="1"/>
        <v>martes</v>
      </c>
      <c r="D23" s="12">
        <v>4.0</v>
      </c>
      <c r="E23" s="13" t="s">
        <v>95</v>
      </c>
      <c r="F23" s="13" t="s">
        <v>229</v>
      </c>
      <c r="G23" s="13" t="s">
        <v>231</v>
      </c>
      <c r="H23" s="13" t="s">
        <v>132</v>
      </c>
      <c r="I23" s="13" t="s">
        <v>141</v>
      </c>
    </row>
    <row r="24" ht="41.25" customHeight="1">
      <c r="A24" s="1"/>
      <c r="B24" s="4">
        <v>46316.0</v>
      </c>
      <c r="C24" s="5" t="str">
        <f t="shared" si="1"/>
        <v>miércoles</v>
      </c>
      <c r="D24" s="5">
        <v>4.0</v>
      </c>
      <c r="E24" s="6" t="s">
        <v>102</v>
      </c>
      <c r="F24" s="6" t="s">
        <v>242</v>
      </c>
      <c r="G24" s="6" t="s">
        <v>245</v>
      </c>
      <c r="H24" s="6" t="s">
        <v>248</v>
      </c>
      <c r="I24" s="6" t="s">
        <v>251</v>
      </c>
    </row>
    <row r="25" ht="27.75" customHeight="1">
      <c r="A25" s="1"/>
      <c r="B25" s="4">
        <v>46317.0</v>
      </c>
      <c r="C25" s="5" t="str">
        <f t="shared" si="1"/>
        <v>jueves</v>
      </c>
      <c r="D25" s="5">
        <v>4.0</v>
      </c>
      <c r="E25" s="6" t="s">
        <v>109</v>
      </c>
      <c r="F25" s="6" t="s">
        <v>253</v>
      </c>
      <c r="G25" s="6" t="s">
        <v>255</v>
      </c>
      <c r="H25" s="6" t="s">
        <v>257</v>
      </c>
      <c r="I25" s="6" t="s">
        <v>251</v>
      </c>
    </row>
    <row r="26" ht="27.75" customHeight="1">
      <c r="A26" s="1"/>
      <c r="B26" s="4">
        <v>46318.0</v>
      </c>
      <c r="C26" s="5" t="str">
        <f t="shared" si="1"/>
        <v>viernes</v>
      </c>
      <c r="D26" s="5">
        <v>4.0</v>
      </c>
      <c r="E26" s="6" t="s">
        <v>116</v>
      </c>
      <c r="F26" s="6" t="s">
        <v>267</v>
      </c>
      <c r="G26" s="6" t="s">
        <v>269</v>
      </c>
      <c r="H26" s="6" t="s">
        <v>271</v>
      </c>
      <c r="I26" s="6" t="s">
        <v>153</v>
      </c>
    </row>
    <row r="27" ht="15.0" customHeight="1">
      <c r="A27" s="1"/>
      <c r="B27" s="8">
        <v>46319.0</v>
      </c>
      <c r="C27" s="9" t="str">
        <f t="shared" si="1"/>
        <v>sábado</v>
      </c>
      <c r="D27" s="9">
        <v>0.0</v>
      </c>
      <c r="E27" s="10"/>
      <c r="F27" s="10"/>
      <c r="G27" s="10"/>
      <c r="H27" s="10"/>
      <c r="I27" s="10"/>
    </row>
    <row r="28" ht="15.0" customHeight="1">
      <c r="A28" s="1"/>
      <c r="B28" s="8">
        <v>46320.0</v>
      </c>
      <c r="C28" s="9" t="str">
        <f t="shared" si="1"/>
        <v>domingo</v>
      </c>
      <c r="D28" s="9">
        <v>0.0</v>
      </c>
      <c r="E28" s="10"/>
      <c r="F28" s="10"/>
      <c r="G28" s="10"/>
      <c r="H28" s="10"/>
      <c r="I28" s="10"/>
    </row>
    <row r="29" ht="27.75" customHeight="1">
      <c r="A29" s="1"/>
      <c r="B29" s="4">
        <v>46321.0</v>
      </c>
      <c r="C29" s="5" t="str">
        <f t="shared" si="1"/>
        <v>lunes</v>
      </c>
      <c r="D29" s="5">
        <v>4.0</v>
      </c>
      <c r="E29" s="6" t="s">
        <v>127</v>
      </c>
      <c r="F29" s="6" t="s">
        <v>290</v>
      </c>
      <c r="G29" s="6" t="s">
        <v>291</v>
      </c>
      <c r="H29" s="6" t="s">
        <v>292</v>
      </c>
      <c r="I29" s="6" t="s">
        <v>251</v>
      </c>
    </row>
    <row r="30" ht="27.75" customHeight="1">
      <c r="A30" s="1"/>
      <c r="B30" s="4">
        <v>46322.0</v>
      </c>
      <c r="C30" s="5" t="str">
        <f t="shared" si="1"/>
        <v>martes</v>
      </c>
      <c r="D30" s="5">
        <v>4.0</v>
      </c>
      <c r="E30" s="6" t="s">
        <v>135</v>
      </c>
      <c r="F30" s="6" t="s">
        <v>296</v>
      </c>
      <c r="G30" s="6" t="s">
        <v>297</v>
      </c>
      <c r="H30" s="6" t="s">
        <v>298</v>
      </c>
      <c r="I30" s="6" t="s">
        <v>251</v>
      </c>
    </row>
    <row r="31" ht="27.75" customHeight="1">
      <c r="A31" s="1"/>
      <c r="B31" s="4">
        <v>46323.0</v>
      </c>
      <c r="C31" s="5" t="str">
        <f t="shared" si="1"/>
        <v>miércoles</v>
      </c>
      <c r="D31" s="5">
        <v>4.0</v>
      </c>
      <c r="E31" s="6" t="s">
        <v>145</v>
      </c>
      <c r="F31" s="6" t="s">
        <v>305</v>
      </c>
      <c r="G31" s="6" t="s">
        <v>306</v>
      </c>
      <c r="H31" s="6" t="s">
        <v>307</v>
      </c>
      <c r="I31" s="6" t="s">
        <v>251</v>
      </c>
    </row>
    <row r="32" ht="41.25" customHeight="1">
      <c r="A32" s="1"/>
      <c r="B32" s="4">
        <v>46324.0</v>
      </c>
      <c r="C32" s="5" t="str">
        <f t="shared" si="1"/>
        <v>jueves</v>
      </c>
      <c r="D32" s="5">
        <v>4.0</v>
      </c>
      <c r="E32" s="6" t="s">
        <v>155</v>
      </c>
      <c r="F32" s="6" t="s">
        <v>319</v>
      </c>
      <c r="G32" s="6" t="s">
        <v>320</v>
      </c>
      <c r="H32" s="6" t="s">
        <v>321</v>
      </c>
      <c r="I32" s="6" t="s">
        <v>251</v>
      </c>
    </row>
    <row r="33" ht="27.75" customHeight="1">
      <c r="A33" s="1"/>
      <c r="B33" s="11">
        <v>46325.0</v>
      </c>
      <c r="C33" s="12" t="str">
        <f t="shared" si="1"/>
        <v>viernes</v>
      </c>
      <c r="D33" s="12">
        <v>4.0</v>
      </c>
      <c r="E33" s="13" t="s">
        <v>162</v>
      </c>
      <c r="F33" s="13" t="s">
        <v>330</v>
      </c>
      <c r="G33" s="13" t="s">
        <v>332</v>
      </c>
      <c r="H33" s="13" t="s">
        <v>333</v>
      </c>
      <c r="I33" s="13" t="s">
        <v>251</v>
      </c>
    </row>
    <row r="34" ht="15.0" customHeight="1">
      <c r="A34" s="1"/>
      <c r="B34" s="8">
        <v>46326.0</v>
      </c>
      <c r="C34" s="9" t="str">
        <f t="shared" si="1"/>
        <v>sábado</v>
      </c>
      <c r="D34" s="9">
        <v>0.0</v>
      </c>
      <c r="E34" s="10"/>
      <c r="F34" s="10"/>
      <c r="G34" s="10"/>
      <c r="H34" s="10"/>
      <c r="I34" s="10"/>
    </row>
    <row r="35" ht="15.0" customHeight="1">
      <c r="A35" s="1"/>
      <c r="B35" s="8">
        <v>46327.0</v>
      </c>
      <c r="C35" s="9" t="str">
        <f t="shared" si="1"/>
        <v>domingo</v>
      </c>
      <c r="D35" s="9">
        <v>0.0</v>
      </c>
      <c r="E35" s="10"/>
      <c r="F35" s="10"/>
      <c r="G35" s="10"/>
      <c r="H35" s="10"/>
      <c r="I35" s="10"/>
    </row>
    <row r="36" ht="15.0" customHeight="1">
      <c r="A36" s="1"/>
      <c r="B36" s="8">
        <v>46328.0</v>
      </c>
      <c r="C36" s="9" t="str">
        <f t="shared" si="1"/>
        <v>lunes</v>
      </c>
      <c r="D36" s="9">
        <v>0.0</v>
      </c>
      <c r="E36" s="10" t="s">
        <v>169</v>
      </c>
      <c r="F36" s="10"/>
      <c r="G36" s="10"/>
      <c r="H36" s="10"/>
      <c r="I36" s="10"/>
    </row>
    <row r="37" ht="15.0" customHeight="1">
      <c r="A37" s="1"/>
      <c r="B37" s="8">
        <v>46329.0</v>
      </c>
      <c r="C37" s="9" t="str">
        <f t="shared" si="1"/>
        <v>martes</v>
      </c>
      <c r="D37" s="9">
        <v>0.0</v>
      </c>
      <c r="E37" s="10" t="s">
        <v>176</v>
      </c>
      <c r="F37" s="10"/>
      <c r="G37" s="10"/>
      <c r="H37" s="10"/>
      <c r="I37" s="10"/>
    </row>
    <row r="38" ht="27.75" customHeight="1">
      <c r="A38" s="1"/>
      <c r="B38" s="4">
        <v>46330.0</v>
      </c>
      <c r="C38" s="5" t="str">
        <f t="shared" si="1"/>
        <v>miércoles</v>
      </c>
      <c r="D38" s="5">
        <v>4.0</v>
      </c>
      <c r="E38" s="6" t="s">
        <v>179</v>
      </c>
      <c r="F38" s="6" t="s">
        <v>348</v>
      </c>
      <c r="G38" s="6" t="s">
        <v>350</v>
      </c>
      <c r="H38" s="6" t="s">
        <v>352</v>
      </c>
      <c r="I38" s="6" t="s">
        <v>356</v>
      </c>
    </row>
    <row r="39" ht="27.75" customHeight="1">
      <c r="A39" s="1"/>
      <c r="B39" s="4">
        <v>46331.0</v>
      </c>
      <c r="C39" s="5" t="str">
        <f t="shared" si="1"/>
        <v>jueves</v>
      </c>
      <c r="D39" s="5">
        <v>4.0</v>
      </c>
      <c r="E39" s="6" t="s">
        <v>191</v>
      </c>
      <c r="F39" s="6" t="s">
        <v>371</v>
      </c>
      <c r="G39" s="6" t="s">
        <v>372</v>
      </c>
      <c r="H39" s="6" t="s">
        <v>373</v>
      </c>
      <c r="I39" s="6" t="s">
        <v>356</v>
      </c>
    </row>
    <row r="40" ht="27.75" customHeight="1">
      <c r="A40" s="1"/>
      <c r="B40" s="4">
        <v>46332.0</v>
      </c>
      <c r="C40" s="5" t="str">
        <f t="shared" si="1"/>
        <v>viernes</v>
      </c>
      <c r="D40" s="5">
        <v>4.0</v>
      </c>
      <c r="E40" s="6" t="s">
        <v>200</v>
      </c>
      <c r="F40" s="6" t="s">
        <v>382</v>
      </c>
      <c r="G40" s="6" t="s">
        <v>384</v>
      </c>
      <c r="H40" s="6" t="s">
        <v>386</v>
      </c>
      <c r="I40" s="6" t="s">
        <v>356</v>
      </c>
    </row>
    <row r="41" ht="15.0" customHeight="1">
      <c r="A41" s="1"/>
      <c r="B41" s="8">
        <v>46333.0</v>
      </c>
      <c r="C41" s="9" t="str">
        <f t="shared" si="1"/>
        <v>sábado</v>
      </c>
      <c r="D41" s="9">
        <v>0.0</v>
      </c>
      <c r="E41" s="10"/>
      <c r="F41" s="10"/>
      <c r="G41" s="10"/>
      <c r="H41" s="10"/>
      <c r="I41" s="10"/>
    </row>
    <row r="42" ht="15.0" customHeight="1">
      <c r="A42" s="1"/>
      <c r="B42" s="8">
        <v>46334.0</v>
      </c>
      <c r="C42" s="9" t="str">
        <f t="shared" si="1"/>
        <v>domingo</v>
      </c>
      <c r="D42" s="9">
        <v>0.0</v>
      </c>
      <c r="E42" s="10"/>
      <c r="F42" s="10"/>
      <c r="G42" s="10"/>
      <c r="H42" s="10"/>
      <c r="I42" s="10"/>
    </row>
    <row r="43" ht="27.75" customHeight="1">
      <c r="A43" s="1"/>
      <c r="B43" s="4">
        <v>46335.0</v>
      </c>
      <c r="C43" s="5" t="str">
        <f t="shared" si="1"/>
        <v>lunes</v>
      </c>
      <c r="D43" s="5">
        <v>4.0</v>
      </c>
      <c r="E43" s="6" t="s">
        <v>213</v>
      </c>
      <c r="F43" s="6" t="s">
        <v>402</v>
      </c>
      <c r="G43" s="6" t="s">
        <v>403</v>
      </c>
      <c r="H43" s="6" t="s">
        <v>404</v>
      </c>
      <c r="I43" s="6" t="s">
        <v>356</v>
      </c>
    </row>
    <row r="44" ht="27.75" customHeight="1">
      <c r="A44" s="1"/>
      <c r="B44" s="4">
        <v>46336.0</v>
      </c>
      <c r="C44" s="5" t="str">
        <f t="shared" si="1"/>
        <v>martes</v>
      </c>
      <c r="D44" s="5">
        <v>4.0</v>
      </c>
      <c r="E44" s="6" t="s">
        <v>220</v>
      </c>
      <c r="F44" s="6" t="s">
        <v>406</v>
      </c>
      <c r="G44" s="6" t="s">
        <v>407</v>
      </c>
      <c r="H44" s="6" t="s">
        <v>408</v>
      </c>
      <c r="I44" s="6" t="s">
        <v>356</v>
      </c>
    </row>
    <row r="45" ht="27.75" customHeight="1">
      <c r="A45" s="1"/>
      <c r="B45" s="4">
        <v>46337.0</v>
      </c>
      <c r="C45" s="5" t="str">
        <f t="shared" si="1"/>
        <v>miércoles</v>
      </c>
      <c r="D45" s="5">
        <v>4.0</v>
      </c>
      <c r="E45" s="6" t="s">
        <v>225</v>
      </c>
      <c r="F45" s="6" t="s">
        <v>418</v>
      </c>
      <c r="G45" s="6" t="s">
        <v>420</v>
      </c>
      <c r="H45" s="6" t="s">
        <v>421</v>
      </c>
      <c r="I45" s="6" t="s">
        <v>356</v>
      </c>
    </row>
    <row r="46" ht="27.75" customHeight="1">
      <c r="A46" s="1"/>
      <c r="B46" s="4">
        <v>46338.0</v>
      </c>
      <c r="C46" s="5" t="str">
        <f t="shared" si="1"/>
        <v>jueves</v>
      </c>
      <c r="D46" s="5">
        <v>4.0</v>
      </c>
      <c r="E46" s="6" t="s">
        <v>232</v>
      </c>
      <c r="F46" s="6" t="s">
        <v>430</v>
      </c>
      <c r="G46" s="6" t="s">
        <v>431</v>
      </c>
      <c r="H46" s="6" t="s">
        <v>432</v>
      </c>
      <c r="I46" s="6" t="s">
        <v>356</v>
      </c>
    </row>
    <row r="47" ht="27.75" customHeight="1">
      <c r="A47" s="1"/>
      <c r="B47" s="11">
        <v>46339.0</v>
      </c>
      <c r="C47" s="12" t="str">
        <f t="shared" si="1"/>
        <v>viernes</v>
      </c>
      <c r="D47" s="12">
        <v>4.0</v>
      </c>
      <c r="E47" s="13" t="s">
        <v>240</v>
      </c>
      <c r="F47" s="13" t="s">
        <v>441</v>
      </c>
      <c r="G47" s="13" t="s">
        <v>443</v>
      </c>
      <c r="H47" s="13" t="s">
        <v>445</v>
      </c>
      <c r="I47" s="13" t="s">
        <v>356</v>
      </c>
    </row>
    <row r="48" ht="15.0" customHeight="1">
      <c r="A48" s="1"/>
      <c r="B48" s="8">
        <v>46340.0</v>
      </c>
      <c r="C48" s="9" t="str">
        <f t="shared" si="1"/>
        <v>sábado</v>
      </c>
      <c r="D48" s="9">
        <v>0.0</v>
      </c>
      <c r="E48" s="10"/>
      <c r="F48" s="10"/>
      <c r="G48" s="10"/>
      <c r="H48" s="10"/>
      <c r="I48" s="10"/>
    </row>
    <row r="49" ht="15.0" customHeight="1">
      <c r="A49" s="1"/>
      <c r="B49" s="8">
        <v>46341.0</v>
      </c>
      <c r="C49" s="9" t="str">
        <f t="shared" si="1"/>
        <v>domingo</v>
      </c>
      <c r="D49" s="9">
        <v>0.0</v>
      </c>
      <c r="E49" s="10"/>
      <c r="F49" s="10"/>
      <c r="G49" s="10"/>
      <c r="H49" s="10"/>
      <c r="I49" s="10"/>
    </row>
    <row r="50" ht="27.75" customHeight="1">
      <c r="A50" s="1"/>
      <c r="B50" s="4">
        <v>46342.0</v>
      </c>
      <c r="C50" s="5" t="str">
        <f t="shared" si="1"/>
        <v>lunes</v>
      </c>
      <c r="D50" s="5">
        <v>4.0</v>
      </c>
      <c r="E50" s="6" t="s">
        <v>263</v>
      </c>
      <c r="F50" s="6" t="s">
        <v>462</v>
      </c>
      <c r="G50" s="6" t="s">
        <v>464</v>
      </c>
      <c r="H50" s="6" t="s">
        <v>466</v>
      </c>
      <c r="I50" s="6" t="s">
        <v>469</v>
      </c>
    </row>
    <row r="51" ht="27.75" customHeight="1">
      <c r="A51" s="1"/>
      <c r="B51" s="4">
        <v>46343.0</v>
      </c>
      <c r="C51" s="5" t="str">
        <f t="shared" si="1"/>
        <v>martes</v>
      </c>
      <c r="D51" s="5">
        <v>4.0</v>
      </c>
      <c r="E51" s="6" t="s">
        <v>273</v>
      </c>
      <c r="F51" s="6" t="s">
        <v>475</v>
      </c>
      <c r="G51" s="6" t="s">
        <v>477</v>
      </c>
      <c r="H51" s="6" t="s">
        <v>480</v>
      </c>
      <c r="I51" s="6" t="s">
        <v>469</v>
      </c>
    </row>
    <row r="52" ht="27.75" customHeight="1">
      <c r="A52" s="1"/>
      <c r="B52" s="4">
        <v>46344.0</v>
      </c>
      <c r="C52" s="5" t="str">
        <f t="shared" si="1"/>
        <v>miércoles</v>
      </c>
      <c r="D52" s="5">
        <v>4.0</v>
      </c>
      <c r="E52" s="6" t="s">
        <v>276</v>
      </c>
      <c r="F52" s="6" t="s">
        <v>486</v>
      </c>
      <c r="G52" s="6" t="s">
        <v>489</v>
      </c>
      <c r="H52" s="6" t="s">
        <v>492</v>
      </c>
      <c r="I52" s="6" t="s">
        <v>469</v>
      </c>
    </row>
    <row r="53" ht="15.0" customHeight="1">
      <c r="A53" s="1"/>
      <c r="B53" s="4">
        <v>46345.0</v>
      </c>
      <c r="C53" s="5" t="str">
        <f t="shared" si="1"/>
        <v>jueves</v>
      </c>
      <c r="D53" s="5">
        <v>4.0</v>
      </c>
      <c r="E53" s="6" t="s">
        <v>282</v>
      </c>
      <c r="F53" s="6" t="s">
        <v>494</v>
      </c>
      <c r="G53" s="6" t="s">
        <v>496</v>
      </c>
      <c r="H53" s="6" t="s">
        <v>492</v>
      </c>
      <c r="I53" s="6" t="s">
        <v>469</v>
      </c>
    </row>
    <row r="54" ht="15.0" customHeight="1">
      <c r="A54" s="1"/>
      <c r="B54" s="4">
        <v>46346.0</v>
      </c>
      <c r="C54" s="5" t="str">
        <f t="shared" si="1"/>
        <v>viernes</v>
      </c>
      <c r="D54" s="5">
        <v>4.0</v>
      </c>
      <c r="E54" s="6" t="s">
        <v>288</v>
      </c>
      <c r="F54" s="6" t="s">
        <v>504</v>
      </c>
      <c r="G54" s="6" t="s">
        <v>506</v>
      </c>
      <c r="H54" s="6" t="s">
        <v>421</v>
      </c>
      <c r="I54" s="6" t="s">
        <v>469</v>
      </c>
    </row>
    <row r="55" ht="15.0" customHeight="1">
      <c r="A55" s="1"/>
      <c r="B55" s="8">
        <v>46347.0</v>
      </c>
      <c r="C55" s="9" t="str">
        <f t="shared" si="1"/>
        <v>sábado</v>
      </c>
      <c r="D55" s="9">
        <v>0.0</v>
      </c>
      <c r="E55" s="10"/>
      <c r="F55" s="10"/>
      <c r="G55" s="10"/>
      <c r="H55" s="10"/>
      <c r="I55" s="10"/>
    </row>
    <row r="56" ht="15.0" customHeight="1">
      <c r="A56" s="1"/>
      <c r="B56" s="8">
        <v>46348.0</v>
      </c>
      <c r="C56" s="9" t="str">
        <f t="shared" si="1"/>
        <v>domingo</v>
      </c>
      <c r="D56" s="9">
        <v>0.0</v>
      </c>
      <c r="E56" s="10"/>
      <c r="F56" s="10"/>
      <c r="G56" s="10"/>
      <c r="H56" s="10"/>
      <c r="I56" s="10"/>
    </row>
    <row r="57" ht="27.75" customHeight="1">
      <c r="A57" s="1"/>
      <c r="B57" s="4">
        <v>46349.0</v>
      </c>
      <c r="C57" s="5" t="str">
        <f t="shared" si="1"/>
        <v>lunes</v>
      </c>
      <c r="D57" s="5">
        <v>4.0</v>
      </c>
      <c r="E57" s="6" t="s">
        <v>299</v>
      </c>
      <c r="F57" s="6" t="s">
        <v>520</v>
      </c>
      <c r="G57" s="6" t="s">
        <v>521</v>
      </c>
      <c r="H57" s="6" t="s">
        <v>492</v>
      </c>
      <c r="I57" s="6" t="s">
        <v>469</v>
      </c>
    </row>
    <row r="58" ht="15.0" customHeight="1">
      <c r="A58" s="1"/>
      <c r="B58" s="4">
        <v>46350.0</v>
      </c>
      <c r="C58" s="5" t="str">
        <f t="shared" si="1"/>
        <v>martes</v>
      </c>
      <c r="D58" s="5">
        <v>4.0</v>
      </c>
      <c r="E58" s="6" t="s">
        <v>308</v>
      </c>
      <c r="F58" s="6" t="s">
        <v>528</v>
      </c>
      <c r="G58" s="6" t="s">
        <v>529</v>
      </c>
      <c r="H58" s="6" t="s">
        <v>492</v>
      </c>
      <c r="I58" s="6" t="s">
        <v>469</v>
      </c>
    </row>
    <row r="59" ht="27.75" customHeight="1">
      <c r="A59" s="1"/>
      <c r="B59" s="4">
        <v>46351.0</v>
      </c>
      <c r="C59" s="5" t="str">
        <f t="shared" si="1"/>
        <v>miércoles</v>
      </c>
      <c r="D59" s="5">
        <v>4.0</v>
      </c>
      <c r="E59" s="6" t="s">
        <v>315</v>
      </c>
      <c r="F59" s="6" t="s">
        <v>536</v>
      </c>
      <c r="G59" s="6" t="s">
        <v>537</v>
      </c>
      <c r="H59" s="6" t="s">
        <v>492</v>
      </c>
      <c r="I59" s="6" t="s">
        <v>469</v>
      </c>
    </row>
    <row r="60" ht="27.75" customHeight="1">
      <c r="A60" s="1"/>
      <c r="B60" s="4">
        <v>46352.0</v>
      </c>
      <c r="C60" s="5" t="str">
        <f t="shared" si="1"/>
        <v>jueves</v>
      </c>
      <c r="D60" s="5">
        <v>4.0</v>
      </c>
      <c r="E60" s="6" t="s">
        <v>322</v>
      </c>
      <c r="F60" s="6" t="s">
        <v>546</v>
      </c>
      <c r="G60" s="6" t="s">
        <v>547</v>
      </c>
      <c r="H60" s="6" t="s">
        <v>548</v>
      </c>
      <c r="I60" s="6" t="s">
        <v>469</v>
      </c>
    </row>
    <row r="61" ht="27.75" customHeight="1">
      <c r="A61" s="1"/>
      <c r="B61" s="11">
        <v>46353.0</v>
      </c>
      <c r="C61" s="12" t="str">
        <f t="shared" si="1"/>
        <v>viernes</v>
      </c>
      <c r="D61" s="12">
        <v>4.0</v>
      </c>
      <c r="E61" s="13" t="s">
        <v>334</v>
      </c>
      <c r="F61" s="13" t="s">
        <v>560</v>
      </c>
      <c r="G61" s="13" t="s">
        <v>561</v>
      </c>
      <c r="H61" s="13" t="s">
        <v>445</v>
      </c>
      <c r="I61" s="13" t="s">
        <v>469</v>
      </c>
    </row>
    <row r="62" ht="15.0" customHeight="1">
      <c r="A62" s="1"/>
      <c r="B62" s="8">
        <v>46354.0</v>
      </c>
      <c r="C62" s="9" t="str">
        <f t="shared" si="1"/>
        <v>sábado</v>
      </c>
      <c r="D62" s="9">
        <v>0.0</v>
      </c>
      <c r="E62" s="10"/>
      <c r="F62" s="10"/>
      <c r="G62" s="10"/>
      <c r="H62" s="10"/>
      <c r="I62" s="10"/>
    </row>
    <row r="63" ht="15.0" customHeight="1">
      <c r="A63" s="1"/>
      <c r="B63" s="8">
        <v>46355.0</v>
      </c>
      <c r="C63" s="9" t="str">
        <f t="shared" si="1"/>
        <v>domingo</v>
      </c>
      <c r="D63" s="9">
        <v>0.0</v>
      </c>
      <c r="E63" s="10"/>
      <c r="F63" s="10"/>
      <c r="G63" s="10"/>
      <c r="H63" s="10"/>
      <c r="I63" s="10"/>
    </row>
    <row r="64" ht="15.0" customHeight="1">
      <c r="A64" s="1"/>
      <c r="B64" s="4">
        <v>46356.0</v>
      </c>
      <c r="C64" s="5" t="str">
        <f t="shared" si="1"/>
        <v>lunes</v>
      </c>
      <c r="D64" s="5">
        <v>4.0</v>
      </c>
      <c r="E64" s="6" t="s">
        <v>340</v>
      </c>
      <c r="F64" s="6" t="s">
        <v>574</v>
      </c>
      <c r="G64" s="6" t="s">
        <v>575</v>
      </c>
      <c r="H64" s="6" t="s">
        <v>492</v>
      </c>
      <c r="I64" s="6" t="s">
        <v>578</v>
      </c>
    </row>
    <row r="65" ht="15.0" customHeight="1">
      <c r="A65" s="1"/>
      <c r="B65" s="4">
        <v>46357.0</v>
      </c>
      <c r="C65" s="5" t="str">
        <f t="shared" si="1"/>
        <v>martes</v>
      </c>
      <c r="D65" s="5">
        <v>4.0</v>
      </c>
      <c r="E65" s="6" t="s">
        <v>343</v>
      </c>
      <c r="F65" s="6" t="s">
        <v>585</v>
      </c>
      <c r="G65" s="6" t="s">
        <v>587</v>
      </c>
      <c r="H65" s="6" t="s">
        <v>492</v>
      </c>
      <c r="I65" s="6" t="s">
        <v>578</v>
      </c>
    </row>
    <row r="66" ht="27.75" customHeight="1">
      <c r="A66" s="1"/>
      <c r="B66" s="4">
        <v>46358.0</v>
      </c>
      <c r="C66" s="5" t="str">
        <f t="shared" si="1"/>
        <v>miércoles</v>
      </c>
      <c r="D66" s="5">
        <v>4.0</v>
      </c>
      <c r="E66" s="6" t="s">
        <v>345</v>
      </c>
      <c r="F66" s="6" t="s">
        <v>596</v>
      </c>
      <c r="G66" s="6" t="s">
        <v>597</v>
      </c>
      <c r="H66" s="6" t="s">
        <v>600</v>
      </c>
      <c r="I66" s="6" t="s">
        <v>578</v>
      </c>
    </row>
    <row r="67" ht="27.75" customHeight="1">
      <c r="A67" s="1"/>
      <c r="B67" s="4">
        <v>46359.0</v>
      </c>
      <c r="C67" s="5" t="str">
        <f t="shared" si="1"/>
        <v>jueves</v>
      </c>
      <c r="D67" s="5">
        <v>4.0</v>
      </c>
      <c r="E67" s="6" t="s">
        <v>349</v>
      </c>
      <c r="F67" s="6" t="s">
        <v>607</v>
      </c>
      <c r="G67" s="6" t="s">
        <v>609</v>
      </c>
      <c r="H67" s="6" t="s">
        <v>492</v>
      </c>
      <c r="I67" s="6" t="s">
        <v>578</v>
      </c>
    </row>
    <row r="68" ht="27.75" customHeight="1">
      <c r="A68" s="1"/>
      <c r="B68" s="4">
        <v>46360.0</v>
      </c>
      <c r="C68" s="5" t="str">
        <f t="shared" si="1"/>
        <v>viernes</v>
      </c>
      <c r="D68" s="5">
        <v>4.0</v>
      </c>
      <c r="E68" s="6" t="s">
        <v>362</v>
      </c>
      <c r="F68" s="6" t="s">
        <v>614</v>
      </c>
      <c r="G68" s="6" t="s">
        <v>615</v>
      </c>
      <c r="H68" s="6" t="s">
        <v>616</v>
      </c>
      <c r="I68" s="6" t="s">
        <v>578</v>
      </c>
    </row>
    <row r="69" ht="15.0" customHeight="1">
      <c r="A69" s="1"/>
      <c r="B69" s="8">
        <v>46361.0</v>
      </c>
      <c r="C69" s="9" t="str">
        <f t="shared" si="1"/>
        <v>sábado</v>
      </c>
      <c r="D69" s="9">
        <v>0.0</v>
      </c>
      <c r="E69" s="10"/>
      <c r="F69" s="10"/>
      <c r="G69" s="10"/>
      <c r="H69" s="10"/>
      <c r="I69" s="10"/>
    </row>
    <row r="70" ht="15.0" customHeight="1">
      <c r="A70" s="1"/>
      <c r="B70" s="8">
        <v>46362.0</v>
      </c>
      <c r="C70" s="9" t="str">
        <f t="shared" si="1"/>
        <v>domingo</v>
      </c>
      <c r="D70" s="9">
        <v>0.0</v>
      </c>
      <c r="E70" s="10"/>
      <c r="F70" s="10"/>
      <c r="G70" s="10"/>
      <c r="H70" s="10"/>
      <c r="I70" s="10"/>
    </row>
    <row r="71" ht="27.75" customHeight="1">
      <c r="A71" s="1"/>
      <c r="B71" s="4">
        <v>46363.0</v>
      </c>
      <c r="C71" s="5" t="str">
        <f t="shared" si="1"/>
        <v>lunes</v>
      </c>
      <c r="D71" s="5">
        <v>4.0</v>
      </c>
      <c r="E71" s="6" t="s">
        <v>374</v>
      </c>
      <c r="F71" s="6" t="s">
        <v>624</v>
      </c>
      <c r="G71" s="6" t="s">
        <v>625</v>
      </c>
      <c r="H71" s="6" t="s">
        <v>421</v>
      </c>
      <c r="I71" s="6" t="s">
        <v>578</v>
      </c>
    </row>
    <row r="72" ht="27.75" customHeight="1">
      <c r="A72" s="1"/>
      <c r="B72" s="11">
        <v>46364.0</v>
      </c>
      <c r="C72" s="12" t="str">
        <f t="shared" si="1"/>
        <v>martes</v>
      </c>
      <c r="D72" s="12">
        <v>4.0</v>
      </c>
      <c r="E72" s="13" t="s">
        <v>381</v>
      </c>
      <c r="F72" s="13" t="s">
        <v>628</v>
      </c>
      <c r="G72" s="13" t="s">
        <v>629</v>
      </c>
      <c r="H72" s="13" t="s">
        <v>445</v>
      </c>
      <c r="I72" s="13" t="s">
        <v>578</v>
      </c>
    </row>
    <row r="73" ht="27.75" customHeight="1">
      <c r="A73" s="1"/>
      <c r="B73" s="4">
        <v>46365.0</v>
      </c>
      <c r="C73" s="5" t="str">
        <f t="shared" si="1"/>
        <v>miércoles</v>
      </c>
      <c r="D73" s="5">
        <v>4.0</v>
      </c>
      <c r="E73" s="6" t="s">
        <v>387</v>
      </c>
      <c r="F73" s="6" t="s">
        <v>635</v>
      </c>
      <c r="G73" s="6" t="s">
        <v>635</v>
      </c>
      <c r="H73" s="6" t="s">
        <v>492</v>
      </c>
      <c r="I73" s="6" t="s">
        <v>636</v>
      </c>
    </row>
    <row r="74" ht="15.0" customHeight="1">
      <c r="A74" s="1"/>
      <c r="B74" s="4">
        <v>46366.0</v>
      </c>
      <c r="C74" s="5" t="str">
        <f t="shared" si="1"/>
        <v>jueves</v>
      </c>
      <c r="D74" s="5">
        <v>4.0</v>
      </c>
      <c r="E74" s="6" t="s">
        <v>394</v>
      </c>
      <c r="F74" s="6" t="s">
        <v>640</v>
      </c>
      <c r="G74" s="6" t="s">
        <v>642</v>
      </c>
      <c r="H74" s="6" t="s">
        <v>492</v>
      </c>
      <c r="I74" s="6" t="s">
        <v>636</v>
      </c>
    </row>
    <row r="75" ht="27.75" customHeight="1">
      <c r="A75" s="1"/>
      <c r="B75" s="4">
        <v>46367.0</v>
      </c>
      <c r="C75" s="5" t="str">
        <f t="shared" si="1"/>
        <v>viernes</v>
      </c>
      <c r="D75" s="5">
        <v>4.0</v>
      </c>
      <c r="E75" s="6" t="s">
        <v>399</v>
      </c>
      <c r="F75" s="6" t="s">
        <v>646</v>
      </c>
      <c r="G75" s="6" t="s">
        <v>648</v>
      </c>
      <c r="H75" s="6" t="s">
        <v>492</v>
      </c>
      <c r="I75" s="6" t="s">
        <v>636</v>
      </c>
    </row>
    <row r="76" ht="15.0" customHeight="1">
      <c r="A76" s="1"/>
      <c r="B76" s="8">
        <v>46368.0</v>
      </c>
      <c r="C76" s="9" t="str">
        <f t="shared" si="1"/>
        <v>sábado</v>
      </c>
      <c r="D76" s="9">
        <v>0.0</v>
      </c>
      <c r="E76" s="10"/>
      <c r="F76" s="10"/>
      <c r="G76" s="10"/>
      <c r="H76" s="10"/>
      <c r="I76" s="10"/>
    </row>
    <row r="77" ht="15.0" customHeight="1">
      <c r="A77" s="1"/>
      <c r="B77" s="8">
        <v>46369.0</v>
      </c>
      <c r="C77" s="9" t="str">
        <f t="shared" si="1"/>
        <v>domingo</v>
      </c>
      <c r="D77" s="9">
        <v>0.0</v>
      </c>
      <c r="E77" s="10"/>
      <c r="F77" s="10"/>
      <c r="G77" s="10"/>
      <c r="H77" s="10"/>
      <c r="I77" s="10"/>
    </row>
    <row r="78" ht="27.75" customHeight="1">
      <c r="A78" s="1"/>
      <c r="B78" s="4">
        <v>46370.0</v>
      </c>
      <c r="C78" s="5" t="str">
        <f t="shared" si="1"/>
        <v>lunes</v>
      </c>
      <c r="D78" s="5">
        <v>4.0</v>
      </c>
      <c r="E78" s="6" t="s">
        <v>416</v>
      </c>
      <c r="F78" s="6" t="s">
        <v>652</v>
      </c>
      <c r="G78" s="6" t="s">
        <v>655</v>
      </c>
      <c r="H78" s="6" t="s">
        <v>415</v>
      </c>
      <c r="I78" s="6" t="s">
        <v>636</v>
      </c>
    </row>
    <row r="79" ht="27.75" customHeight="1">
      <c r="A79" s="1"/>
      <c r="B79" s="4">
        <v>46371.0</v>
      </c>
      <c r="C79" s="5" t="str">
        <f t="shared" si="1"/>
        <v>martes</v>
      </c>
      <c r="D79" s="5">
        <v>4.0</v>
      </c>
      <c r="E79" s="6" t="s">
        <v>426</v>
      </c>
      <c r="F79" s="6" t="s">
        <v>659</v>
      </c>
      <c r="G79" s="6" t="s">
        <v>661</v>
      </c>
      <c r="H79" s="6" t="s">
        <v>500</v>
      </c>
      <c r="I79" s="6" t="s">
        <v>636</v>
      </c>
    </row>
    <row r="80" ht="27.75" customHeight="1">
      <c r="A80" s="1"/>
      <c r="B80" s="4">
        <v>46372.0</v>
      </c>
      <c r="C80" s="5" t="str">
        <f t="shared" si="1"/>
        <v>miércoles</v>
      </c>
      <c r="D80" s="5">
        <v>4.0</v>
      </c>
      <c r="E80" s="6" t="s">
        <v>434</v>
      </c>
      <c r="F80" s="6" t="s">
        <v>664</v>
      </c>
      <c r="G80" s="6" t="s">
        <v>665</v>
      </c>
      <c r="H80" s="6" t="s">
        <v>667</v>
      </c>
      <c r="I80" s="6" t="s">
        <v>636</v>
      </c>
    </row>
    <row r="81" ht="27.75" customHeight="1">
      <c r="A81" s="1"/>
      <c r="B81" s="4">
        <v>46373.0</v>
      </c>
      <c r="C81" s="5" t="str">
        <f t="shared" si="1"/>
        <v>jueves</v>
      </c>
      <c r="D81" s="5">
        <v>4.0</v>
      </c>
      <c r="E81" s="6" t="s">
        <v>440</v>
      </c>
      <c r="F81" s="6" t="s">
        <v>670</v>
      </c>
      <c r="G81" s="6" t="s">
        <v>672</v>
      </c>
      <c r="H81" s="6" t="s">
        <v>492</v>
      </c>
      <c r="I81" s="6" t="s">
        <v>636</v>
      </c>
    </row>
    <row r="82" ht="27.75" customHeight="1">
      <c r="A82" s="1"/>
      <c r="B82" s="11">
        <v>46374.0</v>
      </c>
      <c r="C82" s="12" t="str">
        <f t="shared" si="1"/>
        <v>viernes</v>
      </c>
      <c r="D82" s="12">
        <v>4.0</v>
      </c>
      <c r="E82" s="13" t="s">
        <v>449</v>
      </c>
      <c r="F82" s="13" t="s">
        <v>677</v>
      </c>
      <c r="G82" s="13" t="s">
        <v>678</v>
      </c>
      <c r="H82" s="13" t="s">
        <v>680</v>
      </c>
      <c r="I82" s="13" t="s">
        <v>636</v>
      </c>
    </row>
    <row r="83" ht="15.0" customHeight="1">
      <c r="A83" s="1"/>
      <c r="B83" s="8">
        <v>46375.0</v>
      </c>
      <c r="C83" s="9" t="str">
        <f t="shared" si="1"/>
        <v>sábado</v>
      </c>
      <c r="D83" s="9">
        <v>0.0</v>
      </c>
      <c r="E83" s="10"/>
      <c r="F83" s="10"/>
      <c r="G83" s="10"/>
      <c r="H83" s="10"/>
      <c r="I83" s="10"/>
    </row>
    <row r="84" ht="15.0" customHeight="1">
      <c r="A84" s="1"/>
      <c r="B84" s="8">
        <v>46376.0</v>
      </c>
      <c r="C84" s="9" t="str">
        <f t="shared" si="1"/>
        <v>domingo</v>
      </c>
      <c r="D84" s="9">
        <v>0.0</v>
      </c>
      <c r="E84" s="10"/>
      <c r="F84" s="10"/>
      <c r="G84" s="10"/>
      <c r="H84" s="10"/>
      <c r="I84" s="10"/>
    </row>
    <row r="85" ht="27.75" customHeight="1">
      <c r="A85" s="1"/>
      <c r="B85" s="4">
        <v>46377.0</v>
      </c>
      <c r="C85" s="5" t="str">
        <f t="shared" si="1"/>
        <v>lunes</v>
      </c>
      <c r="D85" s="5">
        <v>4.0</v>
      </c>
      <c r="E85" s="6" t="s">
        <v>455</v>
      </c>
      <c r="F85" s="6" t="s">
        <v>687</v>
      </c>
      <c r="G85" s="6" t="s">
        <v>688</v>
      </c>
      <c r="H85" s="6" t="s">
        <v>690</v>
      </c>
      <c r="I85" s="6" t="s">
        <v>692</v>
      </c>
    </row>
    <row r="86" ht="27.75" customHeight="1">
      <c r="A86" s="1"/>
      <c r="B86" s="4">
        <v>46378.0</v>
      </c>
      <c r="C86" s="5" t="str">
        <f t="shared" si="1"/>
        <v>martes</v>
      </c>
      <c r="D86" s="5">
        <v>4.0</v>
      </c>
      <c r="E86" s="6" t="s">
        <v>459</v>
      </c>
      <c r="F86" s="6" t="s">
        <v>696</v>
      </c>
      <c r="G86" s="6" t="s">
        <v>697</v>
      </c>
      <c r="H86" s="6" t="s">
        <v>698</v>
      </c>
      <c r="I86" s="6" t="s">
        <v>692</v>
      </c>
    </row>
    <row r="87" ht="27.75" customHeight="1">
      <c r="A87" s="1"/>
      <c r="B87" s="4">
        <v>46379.0</v>
      </c>
      <c r="C87" s="5" t="str">
        <f t="shared" si="1"/>
        <v>miércoles</v>
      </c>
      <c r="D87" s="5">
        <v>4.0</v>
      </c>
      <c r="E87" s="6" t="s">
        <v>472</v>
      </c>
      <c r="F87" s="6" t="s">
        <v>702</v>
      </c>
      <c r="G87" s="6" t="s">
        <v>703</v>
      </c>
      <c r="H87" s="6" t="s">
        <v>704</v>
      </c>
      <c r="I87" s="6" t="s">
        <v>692</v>
      </c>
    </row>
    <row r="88" ht="27.75" customHeight="1">
      <c r="A88" s="1"/>
      <c r="B88" s="4">
        <v>46380.0</v>
      </c>
      <c r="C88" s="5" t="str">
        <f t="shared" si="1"/>
        <v>jueves</v>
      </c>
      <c r="D88" s="5">
        <v>4.0</v>
      </c>
      <c r="E88" s="6" t="s">
        <v>483</v>
      </c>
      <c r="F88" s="6" t="s">
        <v>708</v>
      </c>
      <c r="G88" s="6" t="s">
        <v>709</v>
      </c>
      <c r="H88" s="6" t="s">
        <v>492</v>
      </c>
      <c r="I88" s="6" t="s">
        <v>692</v>
      </c>
    </row>
    <row r="89" ht="15.0" customHeight="1">
      <c r="A89" s="1"/>
      <c r="B89" s="8">
        <v>46381.0</v>
      </c>
      <c r="C89" s="9" t="str">
        <f t="shared" si="1"/>
        <v>viernes</v>
      </c>
      <c r="D89" s="9">
        <v>0.0</v>
      </c>
      <c r="E89" s="10" t="s">
        <v>487</v>
      </c>
      <c r="F89" s="10"/>
      <c r="G89" s="10"/>
      <c r="H89" s="10"/>
      <c r="I89" s="10"/>
    </row>
    <row r="90" ht="15.0" customHeight="1">
      <c r="A90" s="1"/>
      <c r="B90" s="8">
        <v>46382.0</v>
      </c>
      <c r="C90" s="9" t="str">
        <f t="shared" si="1"/>
        <v>sábado</v>
      </c>
      <c r="D90" s="9">
        <v>0.0</v>
      </c>
      <c r="E90" s="10"/>
      <c r="F90" s="10"/>
      <c r="G90" s="10"/>
      <c r="H90" s="10"/>
      <c r="I90" s="10"/>
    </row>
    <row r="91" ht="15.0" customHeight="1">
      <c r="A91" s="1"/>
      <c r="B91" s="8">
        <v>46383.0</v>
      </c>
      <c r="C91" s="9" t="str">
        <f t="shared" si="1"/>
        <v>domingo</v>
      </c>
      <c r="D91" s="9">
        <v>0.0</v>
      </c>
      <c r="E91" s="10"/>
      <c r="F91" s="10"/>
      <c r="G91" s="10"/>
      <c r="H91" s="10"/>
      <c r="I91" s="10"/>
    </row>
    <row r="92" ht="27.75" customHeight="1">
      <c r="A92" s="1"/>
      <c r="B92" s="4">
        <v>46384.0</v>
      </c>
      <c r="C92" s="5" t="str">
        <f t="shared" si="1"/>
        <v>lunes</v>
      </c>
      <c r="D92" s="5">
        <v>4.0</v>
      </c>
      <c r="E92" s="6" t="s">
        <v>501</v>
      </c>
      <c r="F92" s="6" t="s">
        <v>720</v>
      </c>
      <c r="G92" s="6" t="s">
        <v>721</v>
      </c>
      <c r="H92" s="6" t="s">
        <v>722</v>
      </c>
      <c r="I92" s="6" t="s">
        <v>692</v>
      </c>
    </row>
    <row r="93" ht="27.75" customHeight="1">
      <c r="A93" s="1"/>
      <c r="B93" s="11">
        <v>46385.0</v>
      </c>
      <c r="C93" s="12" t="str">
        <f t="shared" si="1"/>
        <v>martes</v>
      </c>
      <c r="D93" s="12">
        <v>4.0</v>
      </c>
      <c r="E93" s="13" t="s">
        <v>510</v>
      </c>
      <c r="F93" s="13" t="s">
        <v>727</v>
      </c>
      <c r="G93" s="13" t="s">
        <v>729</v>
      </c>
      <c r="H93" s="13" t="s">
        <v>445</v>
      </c>
      <c r="I93" s="13" t="s">
        <v>692</v>
      </c>
    </row>
    <row r="94" ht="27.75" customHeight="1">
      <c r="A94" s="1"/>
      <c r="B94" s="4">
        <v>46386.0</v>
      </c>
      <c r="C94" s="5" t="str">
        <f t="shared" si="1"/>
        <v>miércoles</v>
      </c>
      <c r="D94" s="5">
        <v>4.0</v>
      </c>
      <c r="E94" s="6" t="s">
        <v>513</v>
      </c>
      <c r="F94" s="6" t="s">
        <v>733</v>
      </c>
      <c r="G94" s="6" t="s">
        <v>734</v>
      </c>
      <c r="H94" s="6" t="s">
        <v>735</v>
      </c>
      <c r="I94" s="6" t="s">
        <v>736</v>
      </c>
    </row>
    <row r="95" ht="15.0" customHeight="1">
      <c r="A95" s="1"/>
      <c r="B95" s="4">
        <v>46387.0</v>
      </c>
      <c r="C95" s="5" t="str">
        <f t="shared" si="1"/>
        <v>jueves</v>
      </c>
      <c r="D95" s="5">
        <v>4.0</v>
      </c>
      <c r="E95" s="6" t="s">
        <v>517</v>
      </c>
      <c r="F95" s="6" t="s">
        <v>740</v>
      </c>
      <c r="G95" s="6" t="s">
        <v>741</v>
      </c>
      <c r="H95" s="6" t="s">
        <v>492</v>
      </c>
      <c r="I95" s="6" t="s">
        <v>736</v>
      </c>
    </row>
    <row r="96" ht="15.0" customHeight="1">
      <c r="A96" s="1"/>
      <c r="B96" s="8">
        <v>46388.0</v>
      </c>
      <c r="C96" s="9" t="str">
        <f t="shared" si="1"/>
        <v>viernes</v>
      </c>
      <c r="D96" s="9">
        <v>0.0</v>
      </c>
      <c r="E96" s="10" t="s">
        <v>519</v>
      </c>
      <c r="F96" s="10"/>
      <c r="G96" s="10"/>
      <c r="H96" s="10"/>
      <c r="I96" s="10"/>
    </row>
    <row r="97" ht="15.0" customHeight="1">
      <c r="A97" s="1"/>
      <c r="B97" s="8">
        <v>46389.0</v>
      </c>
      <c r="C97" s="9" t="str">
        <f t="shared" si="1"/>
        <v>sábado</v>
      </c>
      <c r="D97" s="9">
        <v>0.0</v>
      </c>
      <c r="E97" s="10"/>
      <c r="F97" s="10"/>
      <c r="G97" s="10"/>
      <c r="H97" s="10"/>
      <c r="I97" s="10"/>
    </row>
    <row r="98" ht="15.0" customHeight="1">
      <c r="A98" s="1"/>
      <c r="B98" s="8">
        <v>46390.0</v>
      </c>
      <c r="C98" s="9" t="str">
        <f t="shared" si="1"/>
        <v>domingo</v>
      </c>
      <c r="D98" s="9">
        <v>0.0</v>
      </c>
      <c r="E98" s="10"/>
      <c r="F98" s="10"/>
      <c r="G98" s="10"/>
      <c r="H98" s="10"/>
      <c r="I98" s="10"/>
    </row>
    <row r="99" ht="27.75" customHeight="1">
      <c r="A99" s="1"/>
      <c r="B99" s="4">
        <v>46391.0</v>
      </c>
      <c r="C99" s="5" t="str">
        <f t="shared" si="1"/>
        <v>lunes</v>
      </c>
      <c r="D99" s="5">
        <v>4.0</v>
      </c>
      <c r="E99" s="6" t="s">
        <v>533</v>
      </c>
      <c r="F99" s="6" t="s">
        <v>751</v>
      </c>
      <c r="G99" s="6" t="s">
        <v>752</v>
      </c>
      <c r="H99" s="6" t="s">
        <v>492</v>
      </c>
      <c r="I99" s="6" t="s">
        <v>736</v>
      </c>
    </row>
    <row r="100" ht="15.0" customHeight="1">
      <c r="A100" s="1"/>
      <c r="B100" s="4">
        <v>46392.0</v>
      </c>
      <c r="C100" s="5" t="str">
        <f t="shared" si="1"/>
        <v>martes</v>
      </c>
      <c r="D100" s="5">
        <v>4.0</v>
      </c>
      <c r="E100" s="6" t="s">
        <v>539</v>
      </c>
      <c r="F100" s="6" t="s">
        <v>756</v>
      </c>
      <c r="G100" s="6" t="s">
        <v>759</v>
      </c>
      <c r="H100" s="6" t="s">
        <v>415</v>
      </c>
      <c r="I100" s="6" t="s">
        <v>736</v>
      </c>
    </row>
    <row r="101" ht="27.75" customHeight="1">
      <c r="A101" s="1"/>
      <c r="B101" s="4">
        <v>46393.0</v>
      </c>
      <c r="C101" s="5" t="str">
        <f t="shared" si="1"/>
        <v>miércoles</v>
      </c>
      <c r="D101" s="5">
        <v>4.0</v>
      </c>
      <c r="E101" s="6" t="s">
        <v>549</v>
      </c>
      <c r="F101" s="6" t="s">
        <v>765</v>
      </c>
      <c r="G101" s="6" t="s">
        <v>767</v>
      </c>
      <c r="H101" s="6" t="s">
        <v>773</v>
      </c>
      <c r="I101" s="6" t="s">
        <v>736</v>
      </c>
    </row>
    <row r="102" ht="27.75" customHeight="1">
      <c r="A102" s="1"/>
      <c r="B102" s="4">
        <v>46394.0</v>
      </c>
      <c r="C102" s="5" t="str">
        <f t="shared" si="1"/>
        <v>jueves</v>
      </c>
      <c r="D102" s="5">
        <v>4.0</v>
      </c>
      <c r="E102" s="6" t="s">
        <v>557</v>
      </c>
      <c r="F102" s="6" t="s">
        <v>780</v>
      </c>
      <c r="G102" s="6" t="s">
        <v>781</v>
      </c>
      <c r="H102" s="6" t="s">
        <v>782</v>
      </c>
      <c r="I102" s="6" t="s">
        <v>736</v>
      </c>
    </row>
    <row r="103" ht="27.75" customHeight="1">
      <c r="A103" s="1"/>
      <c r="B103" s="11">
        <v>46395.0</v>
      </c>
      <c r="C103" s="12" t="str">
        <f t="shared" si="1"/>
        <v>viernes</v>
      </c>
      <c r="D103" s="12">
        <v>4.0</v>
      </c>
      <c r="E103" s="13" t="s">
        <v>564</v>
      </c>
      <c r="F103" s="13" t="s">
        <v>792</v>
      </c>
      <c r="G103" s="13" t="s">
        <v>793</v>
      </c>
      <c r="H103" s="13" t="s">
        <v>795</v>
      </c>
      <c r="I103" s="13" t="s">
        <v>736</v>
      </c>
    </row>
    <row r="104" ht="15.0" customHeight="1">
      <c r="A104" s="1"/>
      <c r="B104" s="8">
        <v>46396.0</v>
      </c>
      <c r="C104" s="9" t="str">
        <f t="shared" si="1"/>
        <v>sábado</v>
      </c>
      <c r="D104" s="9">
        <v>0.0</v>
      </c>
      <c r="E104" s="10"/>
      <c r="F104" s="10"/>
      <c r="G104" s="10"/>
      <c r="H104" s="10"/>
      <c r="I104" s="10"/>
    </row>
    <row r="105" ht="15.0" customHeight="1">
      <c r="A105" s="1"/>
      <c r="B105" s="8">
        <v>46397.0</v>
      </c>
      <c r="C105" s="9" t="str">
        <f t="shared" si="1"/>
        <v>domingo</v>
      </c>
      <c r="D105" s="9">
        <v>0.0</v>
      </c>
      <c r="E105" s="10"/>
      <c r="F105" s="10"/>
      <c r="G105" s="10"/>
      <c r="H105" s="10"/>
      <c r="I105" s="10"/>
    </row>
    <row r="106" ht="27.75" customHeight="1">
      <c r="A106" s="1"/>
      <c r="B106" s="4">
        <v>46398.0</v>
      </c>
      <c r="C106" s="5" t="str">
        <f t="shared" si="1"/>
        <v>lunes</v>
      </c>
      <c r="D106" s="5">
        <v>4.0</v>
      </c>
      <c r="E106" s="6" t="s">
        <v>570</v>
      </c>
      <c r="F106" s="6" t="s">
        <v>800</v>
      </c>
      <c r="G106" s="6" t="s">
        <v>803</v>
      </c>
      <c r="H106" s="6" t="s">
        <v>805</v>
      </c>
      <c r="I106" s="6" t="s">
        <v>806</v>
      </c>
    </row>
    <row r="107" ht="15.0" customHeight="1">
      <c r="A107" s="1"/>
      <c r="B107" s="4">
        <v>46399.0</v>
      </c>
      <c r="C107" s="5" t="str">
        <f t="shared" si="1"/>
        <v>martes</v>
      </c>
      <c r="D107" s="5">
        <v>4.0</v>
      </c>
      <c r="E107" s="6" t="s">
        <v>579</v>
      </c>
      <c r="F107" s="6" t="s">
        <v>810</v>
      </c>
      <c r="G107" s="6" t="s">
        <v>811</v>
      </c>
      <c r="H107" s="6" t="s">
        <v>812</v>
      </c>
      <c r="I107" s="6" t="s">
        <v>806</v>
      </c>
    </row>
    <row r="108" ht="27.75" customHeight="1">
      <c r="A108" s="1"/>
      <c r="B108" s="4">
        <v>46400.0</v>
      </c>
      <c r="C108" s="5" t="str">
        <f t="shared" si="1"/>
        <v>miércoles</v>
      </c>
      <c r="D108" s="5">
        <v>4.0</v>
      </c>
      <c r="E108" s="6" t="s">
        <v>586</v>
      </c>
      <c r="F108" s="6" t="s">
        <v>819</v>
      </c>
      <c r="G108" s="6" t="s">
        <v>820</v>
      </c>
      <c r="H108" s="6" t="s">
        <v>821</v>
      </c>
      <c r="I108" s="6" t="s">
        <v>806</v>
      </c>
    </row>
    <row r="109" ht="15.0" customHeight="1">
      <c r="A109" s="1"/>
      <c r="B109" s="4">
        <v>46401.0</v>
      </c>
      <c r="C109" s="5" t="str">
        <f t="shared" si="1"/>
        <v>jueves</v>
      </c>
      <c r="D109" s="5">
        <v>4.0</v>
      </c>
      <c r="E109" s="6" t="s">
        <v>593</v>
      </c>
      <c r="F109" s="6" t="s">
        <v>824</v>
      </c>
      <c r="G109" s="6" t="s">
        <v>825</v>
      </c>
      <c r="H109" s="6" t="s">
        <v>826</v>
      </c>
      <c r="I109" s="6" t="s">
        <v>806</v>
      </c>
    </row>
    <row r="110" ht="15.0" customHeight="1">
      <c r="A110" s="1"/>
      <c r="B110" s="4">
        <v>46402.0</v>
      </c>
      <c r="C110" s="5" t="str">
        <f t="shared" si="1"/>
        <v>viernes</v>
      </c>
      <c r="D110" s="5">
        <v>4.0</v>
      </c>
      <c r="E110" s="6" t="s">
        <v>602</v>
      </c>
      <c r="F110" s="6" t="s">
        <v>827</v>
      </c>
      <c r="G110" s="6" t="s">
        <v>828</v>
      </c>
      <c r="H110" s="6" t="s">
        <v>398</v>
      </c>
      <c r="I110" s="6" t="s">
        <v>806</v>
      </c>
    </row>
    <row r="111" ht="15.0" customHeight="1">
      <c r="A111" s="1"/>
      <c r="B111" s="1"/>
      <c r="C111" s="15" t="s">
        <v>608</v>
      </c>
      <c r="D111" s="15">
        <f>SUM(D3:D110)</f>
        <v>292</v>
      </c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hyperlinks>
    <hyperlink r:id="rId1" ref="G1"/>
  </hyperlinks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3" width="10.0"/>
    <col customWidth="1" min="4" max="4" width="8.0"/>
    <col customWidth="1" min="5" max="5" width="38.0"/>
    <col customWidth="1" min="6" max="6" width="60.0"/>
    <col customWidth="1" min="7" max="7" width="36.0"/>
    <col customWidth="1" min="8" max="8" width="42.0"/>
    <col customWidth="1" min="9" max="9" width="24.0"/>
    <col customWidth="1" min="10" max="26" width="8.71"/>
  </cols>
  <sheetData>
    <row r="1" ht="15.0" customHeight="1">
      <c r="A1" s="1"/>
      <c r="B1" s="3" t="s">
        <v>7</v>
      </c>
      <c r="C1" s="1"/>
      <c r="D1" s="1"/>
      <c r="E1" s="1"/>
      <c r="F1" s="1"/>
      <c r="G1" s="7" t="s">
        <v>10</v>
      </c>
      <c r="H1" s="1"/>
      <c r="I1" s="1"/>
    </row>
    <row r="2" ht="15.0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21</v>
      </c>
      <c r="G2" s="2" t="s">
        <v>4</v>
      </c>
      <c r="H2" s="2" t="s">
        <v>5</v>
      </c>
      <c r="I2" s="2" t="s">
        <v>6</v>
      </c>
    </row>
    <row r="3" ht="27.75" customHeight="1">
      <c r="A3" s="1"/>
      <c r="B3" s="4">
        <v>46295.0</v>
      </c>
      <c r="C3" s="5" t="str">
        <f t="shared" ref="C3:C110" si="1">CHOOSE(WEEKDAY(B3,2),"lunes","martes","miércoles","jueves","viernes","sábado","domingo")</f>
        <v>miércoles</v>
      </c>
      <c r="D3" s="5">
        <v>4.0</v>
      </c>
      <c r="E3" s="6" t="s">
        <v>11</v>
      </c>
      <c r="F3" s="6" t="s">
        <v>30</v>
      </c>
      <c r="G3" s="6" t="s">
        <v>32</v>
      </c>
      <c r="H3" s="6" t="s">
        <v>36</v>
      </c>
      <c r="I3" s="6" t="s">
        <v>39</v>
      </c>
    </row>
    <row r="4" ht="15.0" customHeight="1">
      <c r="A4" s="1"/>
      <c r="B4" s="4">
        <v>46296.0</v>
      </c>
      <c r="C4" s="5" t="str">
        <f t="shared" si="1"/>
        <v>jueves</v>
      </c>
      <c r="D4" s="5">
        <v>4.0</v>
      </c>
      <c r="E4" s="6" t="s">
        <v>15</v>
      </c>
      <c r="F4" s="6" t="s">
        <v>46</v>
      </c>
      <c r="G4" s="6" t="s">
        <v>49</v>
      </c>
      <c r="H4" s="6" t="s">
        <v>48</v>
      </c>
      <c r="I4" s="6" t="s">
        <v>39</v>
      </c>
    </row>
    <row r="5" ht="27.75" customHeight="1">
      <c r="A5" s="1"/>
      <c r="B5" s="4">
        <v>46297.0</v>
      </c>
      <c r="C5" s="5" t="str">
        <f t="shared" si="1"/>
        <v>viernes</v>
      </c>
      <c r="D5" s="5">
        <v>4.0</v>
      </c>
      <c r="E5" s="6" t="s">
        <v>18</v>
      </c>
      <c r="F5" s="6" t="s">
        <v>54</v>
      </c>
      <c r="G5" s="6" t="s">
        <v>55</v>
      </c>
      <c r="H5" s="6" t="s">
        <v>56</v>
      </c>
      <c r="I5" s="6" t="s">
        <v>39</v>
      </c>
    </row>
    <row r="6" ht="15.0" customHeight="1">
      <c r="A6" s="1"/>
      <c r="B6" s="8">
        <v>46298.0</v>
      </c>
      <c r="C6" s="9" t="str">
        <f t="shared" si="1"/>
        <v>sábado</v>
      </c>
      <c r="D6" s="9">
        <v>0.0</v>
      </c>
      <c r="E6" s="10"/>
      <c r="F6" s="10"/>
      <c r="G6" s="10"/>
      <c r="H6" s="10"/>
      <c r="I6" s="10"/>
    </row>
    <row r="7" ht="15.0" customHeight="1">
      <c r="A7" s="1"/>
      <c r="B7" s="8">
        <v>46299.0</v>
      </c>
      <c r="C7" s="9" t="str">
        <f t="shared" si="1"/>
        <v>domingo</v>
      </c>
      <c r="D7" s="9">
        <v>0.0</v>
      </c>
      <c r="E7" s="10"/>
      <c r="F7" s="10"/>
      <c r="G7" s="10"/>
      <c r="H7" s="10"/>
      <c r="I7" s="10"/>
    </row>
    <row r="8" ht="15.0" customHeight="1">
      <c r="A8" s="1"/>
      <c r="B8" s="4">
        <v>46300.0</v>
      </c>
      <c r="C8" s="5" t="str">
        <f t="shared" si="1"/>
        <v>lunes</v>
      </c>
      <c r="D8" s="5">
        <v>4.0</v>
      </c>
      <c r="E8" s="6" t="s">
        <v>22</v>
      </c>
      <c r="F8" s="6" t="s">
        <v>78</v>
      </c>
      <c r="G8" s="6" t="s">
        <v>79</v>
      </c>
      <c r="H8" s="6" t="s">
        <v>77</v>
      </c>
      <c r="I8" s="6" t="s">
        <v>39</v>
      </c>
    </row>
    <row r="9" ht="27.75" customHeight="1">
      <c r="A9" s="1"/>
      <c r="B9" s="11">
        <v>46301.0</v>
      </c>
      <c r="C9" s="12" t="str">
        <f t="shared" si="1"/>
        <v>martes</v>
      </c>
      <c r="D9" s="12">
        <v>4.0</v>
      </c>
      <c r="E9" s="13" t="s">
        <v>25</v>
      </c>
      <c r="F9" s="13" t="s">
        <v>103</v>
      </c>
      <c r="G9" s="13" t="s">
        <v>105</v>
      </c>
      <c r="H9" s="13" t="s">
        <v>107</v>
      </c>
      <c r="I9" s="13" t="s">
        <v>39</v>
      </c>
    </row>
    <row r="10" ht="15.0" customHeight="1">
      <c r="A10" s="1"/>
      <c r="B10" s="4">
        <v>46302.0</v>
      </c>
      <c r="C10" s="5" t="str">
        <f t="shared" si="1"/>
        <v>miércoles</v>
      </c>
      <c r="D10" s="5">
        <v>4.0</v>
      </c>
      <c r="E10" s="6" t="s">
        <v>33</v>
      </c>
      <c r="F10" s="6" t="s">
        <v>112</v>
      </c>
      <c r="G10" s="6" t="s">
        <v>113</v>
      </c>
      <c r="H10" s="6" t="s">
        <v>114</v>
      </c>
      <c r="I10" s="6" t="s">
        <v>117</v>
      </c>
    </row>
    <row r="11" ht="27.75" customHeight="1">
      <c r="A11" s="1"/>
      <c r="B11" s="4">
        <v>46303.0</v>
      </c>
      <c r="C11" s="5" t="str">
        <f t="shared" si="1"/>
        <v>jueves</v>
      </c>
      <c r="D11" s="5">
        <v>4.0</v>
      </c>
      <c r="E11" s="6" t="s">
        <v>41</v>
      </c>
      <c r="F11" s="6" t="s">
        <v>121</v>
      </c>
      <c r="G11" s="6" t="s">
        <v>122</v>
      </c>
      <c r="H11" s="6" t="s">
        <v>123</v>
      </c>
      <c r="I11" s="6" t="s">
        <v>101</v>
      </c>
    </row>
    <row r="12" ht="15.0" customHeight="1">
      <c r="A12" s="1"/>
      <c r="B12" s="8">
        <v>46304.0</v>
      </c>
      <c r="C12" s="9" t="str">
        <f t="shared" si="1"/>
        <v>viernes</v>
      </c>
      <c r="D12" s="9">
        <v>0.0</v>
      </c>
      <c r="E12" s="10" t="s">
        <v>50</v>
      </c>
      <c r="F12" s="10"/>
      <c r="G12" s="10"/>
      <c r="H12" s="10"/>
      <c r="I12" s="10"/>
    </row>
    <row r="13" ht="15.0" customHeight="1">
      <c r="A13" s="1"/>
      <c r="B13" s="8">
        <v>46305.0</v>
      </c>
      <c r="C13" s="9" t="str">
        <f t="shared" si="1"/>
        <v>sábado</v>
      </c>
      <c r="D13" s="9">
        <v>0.0</v>
      </c>
      <c r="E13" s="10"/>
      <c r="F13" s="10"/>
      <c r="G13" s="10"/>
      <c r="H13" s="10"/>
      <c r="I13" s="10"/>
    </row>
    <row r="14" ht="15.0" customHeight="1">
      <c r="A14" s="1"/>
      <c r="B14" s="8">
        <v>46306.0</v>
      </c>
      <c r="C14" s="9" t="str">
        <f t="shared" si="1"/>
        <v>domingo</v>
      </c>
      <c r="D14" s="9">
        <v>0.0</v>
      </c>
      <c r="E14" s="10"/>
      <c r="F14" s="10"/>
      <c r="G14" s="10"/>
      <c r="H14" s="10"/>
      <c r="I14" s="10"/>
    </row>
    <row r="15" ht="15.0" customHeight="1">
      <c r="A15" s="1"/>
      <c r="B15" s="4">
        <v>46307.0</v>
      </c>
      <c r="C15" s="5" t="str">
        <f t="shared" si="1"/>
        <v>lunes</v>
      </c>
      <c r="D15" s="5">
        <v>4.0</v>
      </c>
      <c r="E15" s="6" t="s">
        <v>59</v>
      </c>
      <c r="F15" s="6" t="s">
        <v>152</v>
      </c>
      <c r="G15" s="6" t="s">
        <v>154</v>
      </c>
      <c r="H15" s="6" t="s">
        <v>126</v>
      </c>
      <c r="I15" s="6" t="s">
        <v>63</v>
      </c>
    </row>
    <row r="16" ht="27.75" customHeight="1">
      <c r="A16" s="1"/>
      <c r="B16" s="4">
        <v>46308.0</v>
      </c>
      <c r="C16" s="5" t="str">
        <f t="shared" si="1"/>
        <v>martes</v>
      </c>
      <c r="D16" s="5">
        <v>4.0</v>
      </c>
      <c r="E16" s="6" t="s">
        <v>65</v>
      </c>
      <c r="F16" s="6" t="s">
        <v>161</v>
      </c>
      <c r="G16" s="6" t="s">
        <v>163</v>
      </c>
      <c r="H16" s="6" t="s">
        <v>126</v>
      </c>
      <c r="I16" s="6" t="s">
        <v>63</v>
      </c>
    </row>
    <row r="17" ht="15.0" customHeight="1">
      <c r="A17" s="1"/>
      <c r="B17" s="4">
        <v>46309.0</v>
      </c>
      <c r="C17" s="5" t="str">
        <f t="shared" si="1"/>
        <v>miércoles</v>
      </c>
      <c r="D17" s="5">
        <v>4.0</v>
      </c>
      <c r="E17" s="6" t="s">
        <v>67</v>
      </c>
      <c r="F17" s="6" t="s">
        <v>166</v>
      </c>
      <c r="G17" s="6" t="s">
        <v>167</v>
      </c>
      <c r="H17" s="6" t="s">
        <v>168</v>
      </c>
      <c r="I17" s="6" t="s">
        <v>117</v>
      </c>
    </row>
    <row r="18" ht="15.0" customHeight="1">
      <c r="A18" s="1"/>
      <c r="B18" s="4">
        <v>46310.0</v>
      </c>
      <c r="C18" s="5" t="str">
        <f t="shared" si="1"/>
        <v>jueves</v>
      </c>
      <c r="D18" s="5">
        <v>4.0</v>
      </c>
      <c r="E18" s="6" t="s">
        <v>72</v>
      </c>
      <c r="F18" s="6" t="s">
        <v>172</v>
      </c>
      <c r="G18" s="6" t="s">
        <v>173</v>
      </c>
      <c r="H18" s="6" t="s">
        <v>151</v>
      </c>
      <c r="I18" s="6" t="s">
        <v>153</v>
      </c>
    </row>
    <row r="19" ht="15.0" customHeight="1">
      <c r="A19" s="1"/>
      <c r="B19" s="4">
        <v>46311.0</v>
      </c>
      <c r="C19" s="5" t="str">
        <f t="shared" si="1"/>
        <v>viernes</v>
      </c>
      <c r="D19" s="5">
        <v>4.0</v>
      </c>
      <c r="E19" s="6" t="s">
        <v>80</v>
      </c>
      <c r="F19" s="6" t="s">
        <v>180</v>
      </c>
      <c r="G19" s="6" t="s">
        <v>182</v>
      </c>
      <c r="H19" s="6" t="s">
        <v>160</v>
      </c>
      <c r="I19" s="6" t="s">
        <v>117</v>
      </c>
    </row>
    <row r="20" ht="15.0" customHeight="1">
      <c r="A20" s="1"/>
      <c r="B20" s="8">
        <v>46312.0</v>
      </c>
      <c r="C20" s="9" t="str">
        <f t="shared" si="1"/>
        <v>sábado</v>
      </c>
      <c r="D20" s="9">
        <v>0.0</v>
      </c>
      <c r="E20" s="10"/>
      <c r="F20" s="10"/>
      <c r="G20" s="10"/>
      <c r="H20" s="10"/>
      <c r="I20" s="10"/>
    </row>
    <row r="21" ht="15.0" customHeight="1">
      <c r="A21" s="1"/>
      <c r="B21" s="8">
        <v>46313.0</v>
      </c>
      <c r="C21" s="9" t="str">
        <f t="shared" si="1"/>
        <v>domingo</v>
      </c>
      <c r="D21" s="9">
        <v>0.0</v>
      </c>
      <c r="E21" s="10"/>
      <c r="F21" s="10"/>
      <c r="G21" s="10"/>
      <c r="H21" s="10"/>
      <c r="I21" s="10"/>
    </row>
    <row r="22" ht="27.75" customHeight="1">
      <c r="A22" s="1"/>
      <c r="B22" s="4">
        <v>46314.0</v>
      </c>
      <c r="C22" s="5" t="str">
        <f t="shared" si="1"/>
        <v>lunes</v>
      </c>
      <c r="D22" s="5">
        <v>4.0</v>
      </c>
      <c r="E22" s="6" t="s">
        <v>88</v>
      </c>
      <c r="F22" s="6" t="s">
        <v>208</v>
      </c>
      <c r="G22" s="6" t="s">
        <v>208</v>
      </c>
      <c r="H22" s="6" t="s">
        <v>209</v>
      </c>
      <c r="I22" s="6" t="s">
        <v>210</v>
      </c>
    </row>
    <row r="23" ht="41.25" customHeight="1">
      <c r="A23" s="1"/>
      <c r="B23" s="11">
        <v>46315.0</v>
      </c>
      <c r="C23" s="12" t="str">
        <f t="shared" si="1"/>
        <v>martes</v>
      </c>
      <c r="D23" s="12">
        <v>4.0</v>
      </c>
      <c r="E23" s="13" t="s">
        <v>95</v>
      </c>
      <c r="F23" s="13" t="s">
        <v>218</v>
      </c>
      <c r="G23" s="13" t="s">
        <v>105</v>
      </c>
      <c r="H23" s="13" t="s">
        <v>219</v>
      </c>
      <c r="I23" s="13" t="s">
        <v>117</v>
      </c>
    </row>
    <row r="24" ht="27.75" customHeight="1">
      <c r="A24" s="1"/>
      <c r="B24" s="4">
        <v>46316.0</v>
      </c>
      <c r="C24" s="5" t="str">
        <f t="shared" si="1"/>
        <v>miércoles</v>
      </c>
      <c r="D24" s="5">
        <v>4.0</v>
      </c>
      <c r="E24" s="6" t="s">
        <v>102</v>
      </c>
      <c r="F24" s="14" t="s">
        <v>226</v>
      </c>
      <c r="G24" s="6" t="s">
        <v>233</v>
      </c>
      <c r="H24" s="6" t="s">
        <v>236</v>
      </c>
      <c r="I24" s="6" t="s">
        <v>239</v>
      </c>
    </row>
    <row r="25" ht="27.75" customHeight="1">
      <c r="A25" s="1"/>
      <c r="B25" s="4">
        <v>46317.0</v>
      </c>
      <c r="C25" s="5" t="str">
        <f t="shared" si="1"/>
        <v>jueves</v>
      </c>
      <c r="D25" s="5">
        <v>4.0</v>
      </c>
      <c r="E25" s="6" t="s">
        <v>109</v>
      </c>
      <c r="F25" s="6" t="s">
        <v>246</v>
      </c>
      <c r="G25" s="6" t="s">
        <v>249</v>
      </c>
      <c r="H25" s="6" t="s">
        <v>252</v>
      </c>
      <c r="I25" s="6" t="s">
        <v>28</v>
      </c>
    </row>
    <row r="26" ht="27.75" customHeight="1">
      <c r="A26" s="1"/>
      <c r="B26" s="4">
        <v>46318.0</v>
      </c>
      <c r="C26" s="5" t="str">
        <f t="shared" si="1"/>
        <v>viernes</v>
      </c>
      <c r="D26" s="5">
        <v>4.0</v>
      </c>
      <c r="E26" s="6" t="s">
        <v>116</v>
      </c>
      <c r="F26" s="6" t="s">
        <v>259</v>
      </c>
      <c r="G26" s="6" t="s">
        <v>260</v>
      </c>
      <c r="H26" s="6" t="s">
        <v>261</v>
      </c>
      <c r="I26" s="6" t="s">
        <v>262</v>
      </c>
    </row>
    <row r="27" ht="15.0" customHeight="1">
      <c r="A27" s="1"/>
      <c r="B27" s="8">
        <v>46319.0</v>
      </c>
      <c r="C27" s="9" t="str">
        <f t="shared" si="1"/>
        <v>sábado</v>
      </c>
      <c r="D27" s="9">
        <v>0.0</v>
      </c>
      <c r="E27" s="10"/>
      <c r="F27" s="10"/>
      <c r="G27" s="10"/>
      <c r="H27" s="10"/>
      <c r="I27" s="10"/>
    </row>
    <row r="28" ht="15.0" customHeight="1">
      <c r="A28" s="1"/>
      <c r="B28" s="8">
        <v>46320.0</v>
      </c>
      <c r="C28" s="9" t="str">
        <f t="shared" si="1"/>
        <v>domingo</v>
      </c>
      <c r="D28" s="9">
        <v>0.0</v>
      </c>
      <c r="E28" s="10"/>
      <c r="F28" s="10"/>
      <c r="G28" s="10"/>
      <c r="H28" s="10"/>
      <c r="I28" s="10"/>
    </row>
    <row r="29" ht="27.75" customHeight="1">
      <c r="A29" s="1"/>
      <c r="B29" s="4">
        <v>46321.0</v>
      </c>
      <c r="C29" s="5" t="str">
        <f t="shared" si="1"/>
        <v>lunes</v>
      </c>
      <c r="D29" s="5">
        <v>4.0</v>
      </c>
      <c r="E29" s="6" t="s">
        <v>127</v>
      </c>
      <c r="F29" s="6" t="s">
        <v>285</v>
      </c>
      <c r="G29" s="6" t="s">
        <v>286</v>
      </c>
      <c r="H29" s="6" t="s">
        <v>287</v>
      </c>
      <c r="I29" s="6" t="s">
        <v>239</v>
      </c>
    </row>
    <row r="30" ht="27.75" customHeight="1">
      <c r="A30" s="1"/>
      <c r="B30" s="4">
        <v>46322.0</v>
      </c>
      <c r="C30" s="5" t="str">
        <f t="shared" si="1"/>
        <v>martes</v>
      </c>
      <c r="D30" s="5">
        <v>4.0</v>
      </c>
      <c r="E30" s="6" t="s">
        <v>135</v>
      </c>
      <c r="F30" s="6" t="s">
        <v>293</v>
      </c>
      <c r="G30" s="6" t="s">
        <v>294</v>
      </c>
      <c r="H30" s="6" t="s">
        <v>295</v>
      </c>
      <c r="I30" s="6" t="s">
        <v>239</v>
      </c>
    </row>
    <row r="31" ht="27.75" customHeight="1">
      <c r="A31" s="1"/>
      <c r="B31" s="4">
        <v>46323.0</v>
      </c>
      <c r="C31" s="5" t="str">
        <f t="shared" si="1"/>
        <v>miércoles</v>
      </c>
      <c r="D31" s="5">
        <v>4.0</v>
      </c>
      <c r="E31" s="6" t="s">
        <v>145</v>
      </c>
      <c r="F31" s="6" t="s">
        <v>300</v>
      </c>
      <c r="G31" s="6" t="s">
        <v>303</v>
      </c>
      <c r="H31" s="6" t="s">
        <v>304</v>
      </c>
      <c r="I31" s="6" t="s">
        <v>239</v>
      </c>
    </row>
    <row r="32" ht="41.25" customHeight="1">
      <c r="A32" s="1"/>
      <c r="B32" s="4">
        <v>46324.0</v>
      </c>
      <c r="C32" s="5" t="str">
        <f t="shared" si="1"/>
        <v>jueves</v>
      </c>
      <c r="D32" s="5">
        <v>4.0</v>
      </c>
      <c r="E32" s="6" t="s">
        <v>155</v>
      </c>
      <c r="F32" s="6" t="s">
        <v>311</v>
      </c>
      <c r="G32" s="6" t="s">
        <v>313</v>
      </c>
      <c r="H32" s="6" t="s">
        <v>316</v>
      </c>
      <c r="I32" s="6" t="s">
        <v>239</v>
      </c>
    </row>
    <row r="33" ht="27.75" customHeight="1">
      <c r="A33" s="1"/>
      <c r="B33" s="11">
        <v>46325.0</v>
      </c>
      <c r="C33" s="12" t="str">
        <f t="shared" si="1"/>
        <v>viernes</v>
      </c>
      <c r="D33" s="12">
        <v>4.0</v>
      </c>
      <c r="E33" s="13" t="s">
        <v>162</v>
      </c>
      <c r="F33" s="13" t="s">
        <v>327</v>
      </c>
      <c r="G33" s="13" t="s">
        <v>329</v>
      </c>
      <c r="H33" s="13" t="s">
        <v>331</v>
      </c>
      <c r="I33" s="13" t="s">
        <v>239</v>
      </c>
    </row>
    <row r="34" ht="15.0" customHeight="1">
      <c r="A34" s="1"/>
      <c r="B34" s="8">
        <v>46326.0</v>
      </c>
      <c r="C34" s="9" t="str">
        <f t="shared" si="1"/>
        <v>sábado</v>
      </c>
      <c r="D34" s="9">
        <v>0.0</v>
      </c>
      <c r="E34" s="10"/>
      <c r="F34" s="10"/>
      <c r="G34" s="10"/>
      <c r="H34" s="10"/>
      <c r="I34" s="10"/>
    </row>
    <row r="35" ht="15.0" customHeight="1">
      <c r="A35" s="1"/>
      <c r="B35" s="8">
        <v>46327.0</v>
      </c>
      <c r="C35" s="9" t="str">
        <f t="shared" si="1"/>
        <v>domingo</v>
      </c>
      <c r="D35" s="9">
        <v>0.0</v>
      </c>
      <c r="E35" s="10"/>
      <c r="F35" s="10"/>
      <c r="G35" s="10"/>
      <c r="H35" s="10"/>
      <c r="I35" s="10"/>
    </row>
    <row r="36" ht="15.0" customHeight="1">
      <c r="A36" s="1"/>
      <c r="B36" s="8">
        <v>46328.0</v>
      </c>
      <c r="C36" s="9" t="str">
        <f t="shared" si="1"/>
        <v>lunes</v>
      </c>
      <c r="D36" s="9">
        <v>0.0</v>
      </c>
      <c r="E36" s="10" t="s">
        <v>169</v>
      </c>
      <c r="F36" s="10"/>
      <c r="G36" s="10"/>
      <c r="H36" s="10"/>
      <c r="I36" s="10"/>
    </row>
    <row r="37" ht="15.0" customHeight="1">
      <c r="A37" s="1"/>
      <c r="B37" s="8">
        <v>46329.0</v>
      </c>
      <c r="C37" s="9" t="str">
        <f t="shared" si="1"/>
        <v>martes</v>
      </c>
      <c r="D37" s="9">
        <v>0.0</v>
      </c>
      <c r="E37" s="10" t="s">
        <v>176</v>
      </c>
      <c r="F37" s="10"/>
      <c r="G37" s="10"/>
      <c r="H37" s="10"/>
      <c r="I37" s="10"/>
    </row>
    <row r="38" ht="27.75" customHeight="1">
      <c r="A38" s="1"/>
      <c r="B38" s="4">
        <v>46330.0</v>
      </c>
      <c r="C38" s="5" t="str">
        <f t="shared" si="1"/>
        <v>miércoles</v>
      </c>
      <c r="D38" s="5">
        <v>4.0</v>
      </c>
      <c r="E38" s="6" t="s">
        <v>179</v>
      </c>
      <c r="F38" s="6" t="s">
        <v>353</v>
      </c>
      <c r="G38" s="6" t="s">
        <v>357</v>
      </c>
      <c r="H38" s="6" t="s">
        <v>359</v>
      </c>
      <c r="I38" s="6" t="s">
        <v>361</v>
      </c>
    </row>
    <row r="39" ht="27.75" customHeight="1">
      <c r="A39" s="1"/>
      <c r="B39" s="4">
        <v>46331.0</v>
      </c>
      <c r="C39" s="5" t="str">
        <f t="shared" si="1"/>
        <v>jueves</v>
      </c>
      <c r="D39" s="5">
        <v>4.0</v>
      </c>
      <c r="E39" s="6" t="s">
        <v>191</v>
      </c>
      <c r="F39" s="6" t="s">
        <v>365</v>
      </c>
      <c r="G39" s="6" t="s">
        <v>367</v>
      </c>
      <c r="H39" s="6" t="s">
        <v>369</v>
      </c>
      <c r="I39" s="6" t="s">
        <v>361</v>
      </c>
    </row>
    <row r="40" ht="27.75" customHeight="1">
      <c r="A40" s="1"/>
      <c r="B40" s="4">
        <v>46332.0</v>
      </c>
      <c r="C40" s="5" t="str">
        <f t="shared" si="1"/>
        <v>viernes</v>
      </c>
      <c r="D40" s="5">
        <v>4.0</v>
      </c>
      <c r="E40" s="6" t="s">
        <v>200</v>
      </c>
      <c r="F40" s="6" t="s">
        <v>378</v>
      </c>
      <c r="G40" s="6" t="s">
        <v>380</v>
      </c>
      <c r="H40" s="6" t="s">
        <v>390</v>
      </c>
      <c r="I40" s="6" t="s">
        <v>361</v>
      </c>
    </row>
    <row r="41" ht="15.0" customHeight="1">
      <c r="A41" s="1"/>
      <c r="B41" s="8">
        <v>46333.0</v>
      </c>
      <c r="C41" s="9" t="str">
        <f t="shared" si="1"/>
        <v>sábado</v>
      </c>
      <c r="D41" s="9">
        <v>0.0</v>
      </c>
      <c r="E41" s="10"/>
      <c r="F41" s="10"/>
      <c r="G41" s="10"/>
      <c r="H41" s="10"/>
      <c r="I41" s="10"/>
    </row>
    <row r="42" ht="15.0" customHeight="1">
      <c r="A42" s="1"/>
      <c r="B42" s="8">
        <v>46334.0</v>
      </c>
      <c r="C42" s="9" t="str">
        <f t="shared" si="1"/>
        <v>domingo</v>
      </c>
      <c r="D42" s="9">
        <v>0.0</v>
      </c>
      <c r="E42" s="10"/>
      <c r="F42" s="10"/>
      <c r="G42" s="10"/>
      <c r="H42" s="10"/>
      <c r="I42" s="10"/>
    </row>
    <row r="43" ht="27.75" customHeight="1">
      <c r="A43" s="1"/>
      <c r="B43" s="4">
        <v>46335.0</v>
      </c>
      <c r="C43" s="5" t="str">
        <f t="shared" si="1"/>
        <v>lunes</v>
      </c>
      <c r="D43" s="5">
        <v>4.0</v>
      </c>
      <c r="E43" s="6" t="s">
        <v>213</v>
      </c>
      <c r="F43" s="6" t="s">
        <v>405</v>
      </c>
      <c r="G43" s="6" t="s">
        <v>405</v>
      </c>
      <c r="H43" s="6" t="s">
        <v>369</v>
      </c>
      <c r="I43" s="6" t="s">
        <v>361</v>
      </c>
    </row>
    <row r="44" ht="27.75" customHeight="1">
      <c r="A44" s="1"/>
      <c r="B44" s="4">
        <v>46336.0</v>
      </c>
      <c r="C44" s="5" t="str">
        <f t="shared" si="1"/>
        <v>martes</v>
      </c>
      <c r="D44" s="5">
        <v>4.0</v>
      </c>
      <c r="E44" s="6" t="s">
        <v>220</v>
      </c>
      <c r="F44" s="6" t="s">
        <v>412</v>
      </c>
      <c r="G44" s="6" t="s">
        <v>414</v>
      </c>
      <c r="H44" s="6" t="s">
        <v>415</v>
      </c>
      <c r="I44" s="6" t="s">
        <v>361</v>
      </c>
    </row>
    <row r="45" ht="27.75" customHeight="1">
      <c r="A45" s="1"/>
      <c r="B45" s="4">
        <v>46337.0</v>
      </c>
      <c r="C45" s="5" t="str">
        <f t="shared" si="1"/>
        <v>miércoles</v>
      </c>
      <c r="D45" s="5">
        <v>4.0</v>
      </c>
      <c r="E45" s="6" t="s">
        <v>225</v>
      </c>
      <c r="F45" s="6" t="s">
        <v>425</v>
      </c>
      <c r="G45" s="6" t="s">
        <v>427</v>
      </c>
      <c r="H45" s="6" t="s">
        <v>369</v>
      </c>
      <c r="I45" s="6" t="s">
        <v>361</v>
      </c>
    </row>
    <row r="46" ht="27.75" customHeight="1">
      <c r="A46" s="1"/>
      <c r="B46" s="4">
        <v>46338.0</v>
      </c>
      <c r="C46" s="5" t="str">
        <f t="shared" si="1"/>
        <v>jueves</v>
      </c>
      <c r="D46" s="5">
        <v>4.0</v>
      </c>
      <c r="E46" s="6" t="s">
        <v>232</v>
      </c>
      <c r="F46" s="6" t="s">
        <v>437</v>
      </c>
      <c r="G46" s="6" t="s">
        <v>439</v>
      </c>
      <c r="H46" s="6" t="s">
        <v>369</v>
      </c>
      <c r="I46" s="6" t="s">
        <v>361</v>
      </c>
    </row>
    <row r="47" ht="27.75" customHeight="1">
      <c r="A47" s="1"/>
      <c r="B47" s="11">
        <v>46339.0</v>
      </c>
      <c r="C47" s="12" t="str">
        <f t="shared" si="1"/>
        <v>viernes</v>
      </c>
      <c r="D47" s="12">
        <v>4.0</v>
      </c>
      <c r="E47" s="13" t="s">
        <v>240</v>
      </c>
      <c r="F47" s="13" t="s">
        <v>447</v>
      </c>
      <c r="G47" s="13" t="s">
        <v>448</v>
      </c>
      <c r="H47" s="13" t="s">
        <v>450</v>
      </c>
      <c r="I47" s="13" t="s">
        <v>361</v>
      </c>
    </row>
    <row r="48" ht="15.0" customHeight="1">
      <c r="A48" s="1"/>
      <c r="B48" s="8">
        <v>46340.0</v>
      </c>
      <c r="C48" s="9" t="str">
        <f t="shared" si="1"/>
        <v>sábado</v>
      </c>
      <c r="D48" s="9">
        <v>0.0</v>
      </c>
      <c r="E48" s="10"/>
      <c r="F48" s="10"/>
      <c r="G48" s="10"/>
      <c r="H48" s="10"/>
      <c r="I48" s="10"/>
    </row>
    <row r="49" ht="15.0" customHeight="1">
      <c r="A49" s="1"/>
      <c r="B49" s="8">
        <v>46341.0</v>
      </c>
      <c r="C49" s="9" t="str">
        <f t="shared" si="1"/>
        <v>domingo</v>
      </c>
      <c r="D49" s="9">
        <v>0.0</v>
      </c>
      <c r="E49" s="10"/>
      <c r="F49" s="10"/>
      <c r="G49" s="10"/>
      <c r="H49" s="10"/>
      <c r="I49" s="10"/>
    </row>
    <row r="50" ht="27.75" customHeight="1">
      <c r="A50" s="1"/>
      <c r="B50" s="4">
        <v>46342.0</v>
      </c>
      <c r="C50" s="5" t="str">
        <f t="shared" si="1"/>
        <v>lunes</v>
      </c>
      <c r="D50" s="5">
        <v>4.0</v>
      </c>
      <c r="E50" s="6" t="s">
        <v>263</v>
      </c>
      <c r="F50" s="6" t="s">
        <v>460</v>
      </c>
      <c r="G50" s="6" t="s">
        <v>465</v>
      </c>
      <c r="H50" s="6" t="s">
        <v>468</v>
      </c>
      <c r="I50" s="6" t="s">
        <v>471</v>
      </c>
    </row>
    <row r="51" ht="27.75" customHeight="1">
      <c r="A51" s="1"/>
      <c r="B51" s="4">
        <v>46343.0</v>
      </c>
      <c r="C51" s="5" t="str">
        <f t="shared" si="1"/>
        <v>martes</v>
      </c>
      <c r="D51" s="5">
        <v>4.0</v>
      </c>
      <c r="E51" s="6" t="s">
        <v>273</v>
      </c>
      <c r="F51" s="6" t="s">
        <v>476</v>
      </c>
      <c r="G51" s="6" t="s">
        <v>479</v>
      </c>
      <c r="H51" s="6" t="s">
        <v>482</v>
      </c>
      <c r="I51" s="6" t="s">
        <v>471</v>
      </c>
    </row>
    <row r="52" ht="27.75" customHeight="1">
      <c r="A52" s="1"/>
      <c r="B52" s="4">
        <v>46344.0</v>
      </c>
      <c r="C52" s="5" t="str">
        <f t="shared" si="1"/>
        <v>miércoles</v>
      </c>
      <c r="D52" s="5">
        <v>4.0</v>
      </c>
      <c r="E52" s="6" t="s">
        <v>276</v>
      </c>
      <c r="F52" s="6" t="s">
        <v>488</v>
      </c>
      <c r="G52" s="6" t="s">
        <v>490</v>
      </c>
      <c r="H52" s="6" t="s">
        <v>369</v>
      </c>
      <c r="I52" s="6" t="s">
        <v>471</v>
      </c>
    </row>
    <row r="53" ht="15.0" customHeight="1">
      <c r="A53" s="1"/>
      <c r="B53" s="4">
        <v>46345.0</v>
      </c>
      <c r="C53" s="5" t="str">
        <f t="shared" si="1"/>
        <v>jueves</v>
      </c>
      <c r="D53" s="5">
        <v>4.0</v>
      </c>
      <c r="E53" s="6" t="s">
        <v>282</v>
      </c>
      <c r="F53" s="6" t="s">
        <v>495</v>
      </c>
      <c r="G53" s="6" t="s">
        <v>498</v>
      </c>
      <c r="H53" s="6" t="s">
        <v>415</v>
      </c>
      <c r="I53" s="6" t="s">
        <v>471</v>
      </c>
    </row>
    <row r="54" ht="15.0" customHeight="1">
      <c r="A54" s="1"/>
      <c r="B54" s="4">
        <v>46346.0</v>
      </c>
      <c r="C54" s="5" t="str">
        <f t="shared" si="1"/>
        <v>viernes</v>
      </c>
      <c r="D54" s="5">
        <v>4.0</v>
      </c>
      <c r="E54" s="6" t="s">
        <v>288</v>
      </c>
      <c r="F54" s="6" t="s">
        <v>505</v>
      </c>
      <c r="G54" s="6" t="s">
        <v>508</v>
      </c>
      <c r="H54" s="6" t="s">
        <v>369</v>
      </c>
      <c r="I54" s="6" t="s">
        <v>471</v>
      </c>
    </row>
    <row r="55" ht="15.0" customHeight="1">
      <c r="A55" s="1"/>
      <c r="B55" s="8">
        <v>46347.0</v>
      </c>
      <c r="C55" s="9" t="str">
        <f t="shared" si="1"/>
        <v>sábado</v>
      </c>
      <c r="D55" s="9">
        <v>0.0</v>
      </c>
      <c r="E55" s="10"/>
      <c r="F55" s="10"/>
      <c r="G55" s="10"/>
      <c r="H55" s="10"/>
      <c r="I55" s="10"/>
    </row>
    <row r="56" ht="15.0" customHeight="1">
      <c r="A56" s="1"/>
      <c r="B56" s="8">
        <v>46348.0</v>
      </c>
      <c r="C56" s="9" t="str">
        <f t="shared" si="1"/>
        <v>domingo</v>
      </c>
      <c r="D56" s="9">
        <v>0.0</v>
      </c>
      <c r="E56" s="10"/>
      <c r="F56" s="10"/>
      <c r="G56" s="10"/>
      <c r="H56" s="10"/>
      <c r="I56" s="10"/>
    </row>
    <row r="57" ht="27.75" customHeight="1">
      <c r="A57" s="1"/>
      <c r="B57" s="4">
        <v>46349.0</v>
      </c>
      <c r="C57" s="5" t="str">
        <f t="shared" si="1"/>
        <v>lunes</v>
      </c>
      <c r="D57" s="5">
        <v>4.0</v>
      </c>
      <c r="E57" s="6" t="s">
        <v>299</v>
      </c>
      <c r="F57" s="6" t="s">
        <v>524</v>
      </c>
      <c r="G57" s="6" t="s">
        <v>525</v>
      </c>
      <c r="H57" s="6" t="s">
        <v>527</v>
      </c>
      <c r="I57" s="6" t="s">
        <v>471</v>
      </c>
    </row>
    <row r="58" ht="15.0" customHeight="1">
      <c r="A58" s="1"/>
      <c r="B58" s="4">
        <v>46350.0</v>
      </c>
      <c r="C58" s="5" t="str">
        <f t="shared" si="1"/>
        <v>martes</v>
      </c>
      <c r="D58" s="5">
        <v>4.0</v>
      </c>
      <c r="E58" s="6" t="s">
        <v>308</v>
      </c>
      <c r="F58" s="6" t="s">
        <v>532</v>
      </c>
      <c r="G58" s="6" t="s">
        <v>532</v>
      </c>
      <c r="H58" s="6" t="s">
        <v>369</v>
      </c>
      <c r="I58" s="6" t="s">
        <v>471</v>
      </c>
    </row>
    <row r="59" ht="27.75" customHeight="1">
      <c r="A59" s="1"/>
      <c r="B59" s="4">
        <v>46351.0</v>
      </c>
      <c r="C59" s="5" t="str">
        <f t="shared" si="1"/>
        <v>miércoles</v>
      </c>
      <c r="D59" s="5">
        <v>4.0</v>
      </c>
      <c r="E59" s="6" t="s">
        <v>315</v>
      </c>
      <c r="F59" s="6" t="s">
        <v>541</v>
      </c>
      <c r="G59" s="6" t="s">
        <v>544</v>
      </c>
      <c r="H59" s="6" t="s">
        <v>369</v>
      </c>
      <c r="I59" s="6" t="s">
        <v>471</v>
      </c>
    </row>
    <row r="60" ht="27.75" customHeight="1">
      <c r="A60" s="1"/>
      <c r="B60" s="4">
        <v>46352.0</v>
      </c>
      <c r="C60" s="5" t="str">
        <f t="shared" si="1"/>
        <v>jueves</v>
      </c>
      <c r="D60" s="5">
        <v>4.0</v>
      </c>
      <c r="E60" s="6" t="s">
        <v>322</v>
      </c>
      <c r="F60" s="6" t="s">
        <v>554</v>
      </c>
      <c r="G60" s="6" t="s">
        <v>556</v>
      </c>
      <c r="H60" s="6" t="s">
        <v>369</v>
      </c>
      <c r="I60" s="6" t="s">
        <v>471</v>
      </c>
    </row>
    <row r="61" ht="27.75" customHeight="1">
      <c r="A61" s="1"/>
      <c r="B61" s="11">
        <v>46353.0</v>
      </c>
      <c r="C61" s="12" t="str">
        <f t="shared" si="1"/>
        <v>viernes</v>
      </c>
      <c r="D61" s="12">
        <v>4.0</v>
      </c>
      <c r="E61" s="13" t="s">
        <v>334</v>
      </c>
      <c r="F61" s="13" t="s">
        <v>565</v>
      </c>
      <c r="G61" s="13" t="s">
        <v>567</v>
      </c>
      <c r="H61" s="13" t="s">
        <v>569</v>
      </c>
      <c r="I61" s="13" t="s">
        <v>471</v>
      </c>
    </row>
    <row r="62" ht="15.0" customHeight="1">
      <c r="A62" s="1"/>
      <c r="B62" s="8">
        <v>46354.0</v>
      </c>
      <c r="C62" s="9" t="str">
        <f t="shared" si="1"/>
        <v>sábado</v>
      </c>
      <c r="D62" s="9">
        <v>0.0</v>
      </c>
      <c r="E62" s="10"/>
      <c r="F62" s="10"/>
      <c r="G62" s="10"/>
      <c r="H62" s="10"/>
      <c r="I62" s="10"/>
    </row>
    <row r="63" ht="15.0" customHeight="1">
      <c r="A63" s="1"/>
      <c r="B63" s="8">
        <v>46355.0</v>
      </c>
      <c r="C63" s="9" t="str">
        <f t="shared" si="1"/>
        <v>domingo</v>
      </c>
      <c r="D63" s="9">
        <v>0.0</v>
      </c>
      <c r="E63" s="10"/>
      <c r="F63" s="10"/>
      <c r="G63" s="10"/>
      <c r="H63" s="10"/>
      <c r="I63" s="10"/>
    </row>
    <row r="64" ht="15.0" customHeight="1">
      <c r="A64" s="1"/>
      <c r="B64" s="4">
        <v>46356.0</v>
      </c>
      <c r="C64" s="5" t="str">
        <f t="shared" si="1"/>
        <v>lunes</v>
      </c>
      <c r="D64" s="5">
        <v>4.0</v>
      </c>
      <c r="E64" s="6" t="s">
        <v>340</v>
      </c>
      <c r="F64" s="6" t="s">
        <v>582</v>
      </c>
      <c r="G64" s="6" t="s">
        <v>583</v>
      </c>
      <c r="H64" s="6" t="s">
        <v>369</v>
      </c>
      <c r="I64" s="6" t="s">
        <v>584</v>
      </c>
    </row>
    <row r="65" ht="15.0" customHeight="1">
      <c r="A65" s="1"/>
      <c r="B65" s="4">
        <v>46357.0</v>
      </c>
      <c r="C65" s="5" t="str">
        <f t="shared" si="1"/>
        <v>martes</v>
      </c>
      <c r="D65" s="5">
        <v>4.0</v>
      </c>
      <c r="E65" s="6" t="s">
        <v>343</v>
      </c>
      <c r="F65" s="6" t="s">
        <v>592</v>
      </c>
      <c r="G65" s="6" t="s">
        <v>592</v>
      </c>
      <c r="H65" s="6" t="s">
        <v>369</v>
      </c>
      <c r="I65" s="6" t="s">
        <v>584</v>
      </c>
    </row>
    <row r="66" ht="27.75" customHeight="1">
      <c r="A66" s="1"/>
      <c r="B66" s="4">
        <v>46358.0</v>
      </c>
      <c r="C66" s="5" t="str">
        <f t="shared" si="1"/>
        <v>miércoles</v>
      </c>
      <c r="D66" s="5">
        <v>4.0</v>
      </c>
      <c r="E66" s="6" t="s">
        <v>345</v>
      </c>
      <c r="F66" s="6" t="s">
        <v>604</v>
      </c>
      <c r="G66" s="6" t="s">
        <v>606</v>
      </c>
      <c r="H66" s="6" t="s">
        <v>369</v>
      </c>
      <c r="I66" s="6" t="s">
        <v>584</v>
      </c>
    </row>
    <row r="67" ht="27.75" customHeight="1">
      <c r="A67" s="1"/>
      <c r="B67" s="4">
        <v>46359.0</v>
      </c>
      <c r="C67" s="5" t="str">
        <f t="shared" si="1"/>
        <v>jueves</v>
      </c>
      <c r="D67" s="5">
        <v>4.0</v>
      </c>
      <c r="E67" s="6" t="s">
        <v>349</v>
      </c>
      <c r="F67" s="6" t="s">
        <v>612</v>
      </c>
      <c r="G67" s="6" t="s">
        <v>613</v>
      </c>
      <c r="H67" s="6" t="s">
        <v>369</v>
      </c>
      <c r="I67" s="6" t="s">
        <v>584</v>
      </c>
    </row>
    <row r="68" ht="27.75" customHeight="1">
      <c r="A68" s="1"/>
      <c r="B68" s="4">
        <v>46360.0</v>
      </c>
      <c r="C68" s="5" t="str">
        <f t="shared" si="1"/>
        <v>viernes</v>
      </c>
      <c r="D68" s="5">
        <v>4.0</v>
      </c>
      <c r="E68" s="6" t="s">
        <v>362</v>
      </c>
      <c r="F68" s="6" t="s">
        <v>620</v>
      </c>
      <c r="G68" s="6" t="s">
        <v>621</v>
      </c>
      <c r="H68" s="6" t="s">
        <v>527</v>
      </c>
      <c r="I68" s="6" t="s">
        <v>584</v>
      </c>
    </row>
    <row r="69" ht="15.0" customHeight="1">
      <c r="A69" s="1"/>
      <c r="B69" s="8">
        <v>46361.0</v>
      </c>
      <c r="C69" s="9" t="str">
        <f t="shared" si="1"/>
        <v>sábado</v>
      </c>
      <c r="D69" s="9">
        <v>0.0</v>
      </c>
      <c r="E69" s="10"/>
      <c r="F69" s="10"/>
      <c r="G69" s="10"/>
      <c r="H69" s="10"/>
      <c r="I69" s="10"/>
    </row>
    <row r="70" ht="15.0" customHeight="1">
      <c r="A70" s="1"/>
      <c r="B70" s="8">
        <v>46362.0</v>
      </c>
      <c r="C70" s="9" t="str">
        <f t="shared" si="1"/>
        <v>domingo</v>
      </c>
      <c r="D70" s="9">
        <v>0.0</v>
      </c>
      <c r="E70" s="10"/>
      <c r="F70" s="10"/>
      <c r="G70" s="10"/>
      <c r="H70" s="10"/>
      <c r="I70" s="10"/>
    </row>
    <row r="71" ht="27.75" customHeight="1">
      <c r="A71" s="1"/>
      <c r="B71" s="4">
        <v>46363.0</v>
      </c>
      <c r="C71" s="5" t="str">
        <f t="shared" si="1"/>
        <v>lunes</v>
      </c>
      <c r="D71" s="5">
        <v>4.0</v>
      </c>
      <c r="E71" s="6" t="s">
        <v>374</v>
      </c>
      <c r="F71" s="6" t="s">
        <v>632</v>
      </c>
      <c r="G71" s="6" t="s">
        <v>634</v>
      </c>
      <c r="H71" s="6" t="s">
        <v>527</v>
      </c>
      <c r="I71" s="6" t="s">
        <v>584</v>
      </c>
    </row>
    <row r="72" ht="27.75" customHeight="1">
      <c r="A72" s="1"/>
      <c r="B72" s="11">
        <v>46364.0</v>
      </c>
      <c r="C72" s="12" t="str">
        <f t="shared" si="1"/>
        <v>martes</v>
      </c>
      <c r="D72" s="12">
        <v>4.0</v>
      </c>
      <c r="E72" s="13" t="s">
        <v>381</v>
      </c>
      <c r="F72" s="13" t="s">
        <v>639</v>
      </c>
      <c r="G72" s="13" t="s">
        <v>641</v>
      </c>
      <c r="H72" s="13" t="s">
        <v>643</v>
      </c>
      <c r="I72" s="13" t="s">
        <v>584</v>
      </c>
    </row>
    <row r="73" ht="27.75" customHeight="1">
      <c r="A73" s="1"/>
      <c r="B73" s="4">
        <v>46365.0</v>
      </c>
      <c r="C73" s="5" t="str">
        <f t="shared" si="1"/>
        <v>miércoles</v>
      </c>
      <c r="D73" s="5">
        <v>4.0</v>
      </c>
      <c r="E73" s="6" t="s">
        <v>387</v>
      </c>
      <c r="F73" s="6" t="s">
        <v>647</v>
      </c>
      <c r="G73" s="6" t="s">
        <v>647</v>
      </c>
      <c r="H73" s="6" t="s">
        <v>369</v>
      </c>
      <c r="I73" s="6" t="s">
        <v>649</v>
      </c>
    </row>
    <row r="74" ht="27.75" customHeight="1">
      <c r="A74" s="1"/>
      <c r="B74" s="4">
        <v>46366.0</v>
      </c>
      <c r="C74" s="5" t="str">
        <f t="shared" si="1"/>
        <v>jueves</v>
      </c>
      <c r="D74" s="5">
        <v>4.0</v>
      </c>
      <c r="E74" s="6" t="s">
        <v>394</v>
      </c>
      <c r="F74" s="6" t="s">
        <v>650</v>
      </c>
      <c r="G74" s="6" t="s">
        <v>651</v>
      </c>
      <c r="H74" s="6" t="s">
        <v>369</v>
      </c>
      <c r="I74" s="6" t="s">
        <v>649</v>
      </c>
    </row>
    <row r="75" ht="27.75" customHeight="1">
      <c r="A75" s="1"/>
      <c r="B75" s="4">
        <v>46367.0</v>
      </c>
      <c r="C75" s="5" t="str">
        <f t="shared" si="1"/>
        <v>viernes</v>
      </c>
      <c r="D75" s="5">
        <v>4.0</v>
      </c>
      <c r="E75" s="6" t="s">
        <v>399</v>
      </c>
      <c r="F75" s="6" t="s">
        <v>654</v>
      </c>
      <c r="G75" s="6" t="s">
        <v>654</v>
      </c>
      <c r="H75" s="6" t="s">
        <v>369</v>
      </c>
      <c r="I75" s="6" t="s">
        <v>649</v>
      </c>
    </row>
    <row r="76" ht="15.0" customHeight="1">
      <c r="A76" s="1"/>
      <c r="B76" s="8">
        <v>46368.0</v>
      </c>
      <c r="C76" s="9" t="str">
        <f t="shared" si="1"/>
        <v>sábado</v>
      </c>
      <c r="D76" s="9">
        <v>0.0</v>
      </c>
      <c r="E76" s="10"/>
      <c r="F76" s="10"/>
      <c r="G76" s="10"/>
      <c r="H76" s="10"/>
      <c r="I76" s="10"/>
    </row>
    <row r="77" ht="15.0" customHeight="1">
      <c r="A77" s="1"/>
      <c r="B77" s="8">
        <v>46369.0</v>
      </c>
      <c r="C77" s="9" t="str">
        <f t="shared" si="1"/>
        <v>domingo</v>
      </c>
      <c r="D77" s="9">
        <v>0.0</v>
      </c>
      <c r="E77" s="10"/>
      <c r="F77" s="10"/>
      <c r="G77" s="10"/>
      <c r="H77" s="10"/>
      <c r="I77" s="10"/>
    </row>
    <row r="78" ht="27.75" customHeight="1">
      <c r="A78" s="1"/>
      <c r="B78" s="4">
        <v>46370.0</v>
      </c>
      <c r="C78" s="5" t="str">
        <f t="shared" si="1"/>
        <v>lunes</v>
      </c>
      <c r="D78" s="5">
        <v>4.0</v>
      </c>
      <c r="E78" s="6" t="s">
        <v>416</v>
      </c>
      <c r="F78" s="6" t="s">
        <v>671</v>
      </c>
      <c r="G78" s="6" t="s">
        <v>673</v>
      </c>
      <c r="H78" s="6" t="s">
        <v>369</v>
      </c>
      <c r="I78" s="6" t="s">
        <v>649</v>
      </c>
    </row>
    <row r="79" ht="27.75" customHeight="1">
      <c r="A79" s="1"/>
      <c r="B79" s="4">
        <v>46371.0</v>
      </c>
      <c r="C79" s="5" t="str">
        <f t="shared" si="1"/>
        <v>martes</v>
      </c>
      <c r="D79" s="5">
        <v>4.0</v>
      </c>
      <c r="E79" s="6" t="s">
        <v>426</v>
      </c>
      <c r="F79" s="6" t="s">
        <v>679</v>
      </c>
      <c r="G79" s="6" t="s">
        <v>681</v>
      </c>
      <c r="H79" s="6" t="s">
        <v>369</v>
      </c>
      <c r="I79" s="6" t="s">
        <v>649</v>
      </c>
    </row>
    <row r="80" ht="27.75" customHeight="1">
      <c r="A80" s="1"/>
      <c r="B80" s="4">
        <v>46372.0</v>
      </c>
      <c r="C80" s="5" t="str">
        <f t="shared" si="1"/>
        <v>miércoles</v>
      </c>
      <c r="D80" s="5">
        <v>4.0</v>
      </c>
      <c r="E80" s="6" t="s">
        <v>434</v>
      </c>
      <c r="F80" s="6" t="s">
        <v>682</v>
      </c>
      <c r="G80" s="6" t="s">
        <v>683</v>
      </c>
      <c r="H80" s="6" t="s">
        <v>684</v>
      </c>
      <c r="I80" s="6" t="s">
        <v>649</v>
      </c>
    </row>
    <row r="81" ht="27.75" customHeight="1">
      <c r="A81" s="1"/>
      <c r="B81" s="4">
        <v>46373.0</v>
      </c>
      <c r="C81" s="5" t="str">
        <f t="shared" si="1"/>
        <v>jueves</v>
      </c>
      <c r="D81" s="5">
        <v>4.0</v>
      </c>
      <c r="E81" s="6" t="s">
        <v>440</v>
      </c>
      <c r="F81" s="6" t="s">
        <v>685</v>
      </c>
      <c r="G81" s="6" t="s">
        <v>686</v>
      </c>
      <c r="H81" s="6" t="s">
        <v>369</v>
      </c>
      <c r="I81" s="6" t="s">
        <v>649</v>
      </c>
    </row>
    <row r="82" ht="27.75" customHeight="1">
      <c r="A82" s="1"/>
      <c r="B82" s="11">
        <v>46374.0</v>
      </c>
      <c r="C82" s="12" t="str">
        <f t="shared" si="1"/>
        <v>viernes</v>
      </c>
      <c r="D82" s="12">
        <v>4.0</v>
      </c>
      <c r="E82" s="13" t="s">
        <v>449</v>
      </c>
      <c r="F82" s="13" t="s">
        <v>693</v>
      </c>
      <c r="G82" s="13" t="s">
        <v>694</v>
      </c>
      <c r="H82" s="13" t="s">
        <v>695</v>
      </c>
      <c r="I82" s="13" t="s">
        <v>649</v>
      </c>
    </row>
    <row r="83" ht="15.0" customHeight="1">
      <c r="A83" s="1"/>
      <c r="B83" s="8">
        <v>46375.0</v>
      </c>
      <c r="C83" s="9" t="str">
        <f t="shared" si="1"/>
        <v>sábado</v>
      </c>
      <c r="D83" s="9">
        <v>0.0</v>
      </c>
      <c r="E83" s="10"/>
      <c r="F83" s="10"/>
      <c r="G83" s="10"/>
      <c r="H83" s="10"/>
      <c r="I83" s="10"/>
    </row>
    <row r="84" ht="15.0" customHeight="1">
      <c r="A84" s="1"/>
      <c r="B84" s="8">
        <v>46376.0</v>
      </c>
      <c r="C84" s="9" t="str">
        <f t="shared" si="1"/>
        <v>domingo</v>
      </c>
      <c r="D84" s="9">
        <v>0.0</v>
      </c>
      <c r="E84" s="10"/>
      <c r="F84" s="10"/>
      <c r="G84" s="10"/>
      <c r="H84" s="10"/>
      <c r="I84" s="10"/>
    </row>
    <row r="85" ht="27.75" customHeight="1">
      <c r="A85" s="1"/>
      <c r="B85" s="4">
        <v>46377.0</v>
      </c>
      <c r="C85" s="5" t="str">
        <f t="shared" si="1"/>
        <v>lunes</v>
      </c>
      <c r="D85" s="5">
        <v>4.0</v>
      </c>
      <c r="E85" s="6" t="s">
        <v>455</v>
      </c>
      <c r="F85" s="6" t="s">
        <v>712</v>
      </c>
      <c r="G85" s="6" t="s">
        <v>713</v>
      </c>
      <c r="H85" s="6" t="s">
        <v>369</v>
      </c>
      <c r="I85" s="6" t="s">
        <v>714</v>
      </c>
    </row>
    <row r="86" ht="27.75" customHeight="1">
      <c r="A86" s="1"/>
      <c r="B86" s="4">
        <v>46378.0</v>
      </c>
      <c r="C86" s="5" t="str">
        <f t="shared" si="1"/>
        <v>martes</v>
      </c>
      <c r="D86" s="5">
        <v>4.0</v>
      </c>
      <c r="E86" s="6" t="s">
        <v>459</v>
      </c>
      <c r="F86" s="6" t="s">
        <v>715</v>
      </c>
      <c r="G86" s="6" t="s">
        <v>716</v>
      </c>
      <c r="H86" s="6" t="s">
        <v>369</v>
      </c>
      <c r="I86" s="6" t="s">
        <v>714</v>
      </c>
    </row>
    <row r="87" ht="27.75" customHeight="1">
      <c r="A87" s="1"/>
      <c r="B87" s="4">
        <v>46379.0</v>
      </c>
      <c r="C87" s="5" t="str">
        <f t="shared" si="1"/>
        <v>miércoles</v>
      </c>
      <c r="D87" s="5">
        <v>4.0</v>
      </c>
      <c r="E87" s="6" t="s">
        <v>472</v>
      </c>
      <c r="F87" s="6" t="s">
        <v>717</v>
      </c>
      <c r="G87" s="6" t="s">
        <v>718</v>
      </c>
      <c r="H87" s="6" t="s">
        <v>719</v>
      </c>
      <c r="I87" s="6" t="s">
        <v>714</v>
      </c>
    </row>
    <row r="88" ht="27.75" customHeight="1">
      <c r="A88" s="1"/>
      <c r="B88" s="4">
        <v>46380.0</v>
      </c>
      <c r="C88" s="5" t="str">
        <f t="shared" si="1"/>
        <v>jueves</v>
      </c>
      <c r="D88" s="5">
        <v>4.0</v>
      </c>
      <c r="E88" s="6" t="s">
        <v>483</v>
      </c>
      <c r="F88" s="6" t="s">
        <v>725</v>
      </c>
      <c r="G88" s="6" t="s">
        <v>726</v>
      </c>
      <c r="H88" s="6" t="s">
        <v>728</v>
      </c>
      <c r="I88" s="6" t="s">
        <v>714</v>
      </c>
    </row>
    <row r="89" ht="15.0" customHeight="1">
      <c r="A89" s="1"/>
      <c r="B89" s="8">
        <v>46381.0</v>
      </c>
      <c r="C89" s="9" t="str">
        <f t="shared" si="1"/>
        <v>viernes</v>
      </c>
      <c r="D89" s="9">
        <v>0.0</v>
      </c>
      <c r="E89" s="10" t="s">
        <v>487</v>
      </c>
      <c r="F89" s="10"/>
      <c r="G89" s="10"/>
      <c r="H89" s="10"/>
      <c r="I89" s="10"/>
    </row>
    <row r="90" ht="15.0" customHeight="1">
      <c r="A90" s="1"/>
      <c r="B90" s="8">
        <v>46382.0</v>
      </c>
      <c r="C90" s="9" t="str">
        <f t="shared" si="1"/>
        <v>sábado</v>
      </c>
      <c r="D90" s="9">
        <v>0.0</v>
      </c>
      <c r="E90" s="10"/>
      <c r="F90" s="10"/>
      <c r="G90" s="10"/>
      <c r="H90" s="10"/>
      <c r="I90" s="10"/>
    </row>
    <row r="91" ht="15.0" customHeight="1">
      <c r="A91" s="1"/>
      <c r="B91" s="8">
        <v>46383.0</v>
      </c>
      <c r="C91" s="9" t="str">
        <f t="shared" si="1"/>
        <v>domingo</v>
      </c>
      <c r="D91" s="9">
        <v>0.0</v>
      </c>
      <c r="E91" s="10"/>
      <c r="F91" s="10"/>
      <c r="G91" s="10"/>
      <c r="H91" s="10"/>
      <c r="I91" s="10"/>
    </row>
    <row r="92" ht="27.75" customHeight="1">
      <c r="A92" s="1"/>
      <c r="B92" s="4">
        <v>46384.0</v>
      </c>
      <c r="C92" s="5" t="str">
        <f t="shared" si="1"/>
        <v>lunes</v>
      </c>
      <c r="D92" s="5">
        <v>4.0</v>
      </c>
      <c r="E92" s="6" t="s">
        <v>501</v>
      </c>
      <c r="F92" s="6" t="s">
        <v>745</v>
      </c>
      <c r="G92" s="6" t="s">
        <v>747</v>
      </c>
      <c r="H92" s="6" t="s">
        <v>369</v>
      </c>
      <c r="I92" s="6" t="s">
        <v>714</v>
      </c>
    </row>
    <row r="93" ht="27.75" customHeight="1">
      <c r="A93" s="1"/>
      <c r="B93" s="11">
        <v>46385.0</v>
      </c>
      <c r="C93" s="12" t="str">
        <f t="shared" si="1"/>
        <v>martes</v>
      </c>
      <c r="D93" s="12">
        <v>4.0</v>
      </c>
      <c r="E93" s="13" t="s">
        <v>510</v>
      </c>
      <c r="F93" s="13" t="s">
        <v>749</v>
      </c>
      <c r="G93" s="13" t="s">
        <v>750</v>
      </c>
      <c r="H93" s="13" t="s">
        <v>398</v>
      </c>
      <c r="I93" s="13" t="s">
        <v>714</v>
      </c>
    </row>
    <row r="94" ht="27.75" customHeight="1">
      <c r="A94" s="1"/>
      <c r="B94" s="4">
        <v>46386.0</v>
      </c>
      <c r="C94" s="5" t="str">
        <f t="shared" si="1"/>
        <v>miércoles</v>
      </c>
      <c r="D94" s="5">
        <v>4.0</v>
      </c>
      <c r="E94" s="6" t="s">
        <v>513</v>
      </c>
      <c r="F94" s="6" t="s">
        <v>753</v>
      </c>
      <c r="G94" s="6" t="s">
        <v>754</v>
      </c>
      <c r="H94" s="6" t="s">
        <v>755</v>
      </c>
      <c r="I94" s="6" t="s">
        <v>757</v>
      </c>
    </row>
    <row r="95" ht="15.0" customHeight="1">
      <c r="A95" s="1"/>
      <c r="B95" s="4">
        <v>46387.0</v>
      </c>
      <c r="C95" s="5" t="str">
        <f t="shared" si="1"/>
        <v>jueves</v>
      </c>
      <c r="D95" s="5">
        <v>4.0</v>
      </c>
      <c r="E95" s="6" t="s">
        <v>517</v>
      </c>
      <c r="F95" s="6" t="s">
        <v>763</v>
      </c>
      <c r="G95" s="6" t="s">
        <v>764</v>
      </c>
      <c r="H95" s="6" t="s">
        <v>369</v>
      </c>
      <c r="I95" s="6" t="s">
        <v>757</v>
      </c>
    </row>
    <row r="96" ht="15.0" customHeight="1">
      <c r="A96" s="1"/>
      <c r="B96" s="8">
        <v>46388.0</v>
      </c>
      <c r="C96" s="9" t="str">
        <f t="shared" si="1"/>
        <v>viernes</v>
      </c>
      <c r="D96" s="9">
        <v>0.0</v>
      </c>
      <c r="E96" s="10" t="s">
        <v>519</v>
      </c>
      <c r="F96" s="10"/>
      <c r="G96" s="10"/>
      <c r="H96" s="10"/>
      <c r="I96" s="10"/>
    </row>
    <row r="97" ht="15.0" customHeight="1">
      <c r="A97" s="1"/>
      <c r="B97" s="8">
        <v>46389.0</v>
      </c>
      <c r="C97" s="9" t="str">
        <f t="shared" si="1"/>
        <v>sábado</v>
      </c>
      <c r="D97" s="9">
        <v>0.0</v>
      </c>
      <c r="E97" s="10"/>
      <c r="F97" s="10"/>
      <c r="G97" s="10"/>
      <c r="H97" s="10"/>
      <c r="I97" s="10"/>
    </row>
    <row r="98" ht="15.0" customHeight="1">
      <c r="A98" s="1"/>
      <c r="B98" s="8">
        <v>46390.0</v>
      </c>
      <c r="C98" s="9" t="str">
        <f t="shared" si="1"/>
        <v>domingo</v>
      </c>
      <c r="D98" s="9">
        <v>0.0</v>
      </c>
      <c r="E98" s="10"/>
      <c r="F98" s="10"/>
      <c r="G98" s="10"/>
      <c r="H98" s="10"/>
      <c r="I98" s="10"/>
    </row>
    <row r="99" ht="27.75" customHeight="1">
      <c r="A99" s="1"/>
      <c r="B99" s="4">
        <v>46391.0</v>
      </c>
      <c r="C99" s="5" t="str">
        <f t="shared" si="1"/>
        <v>lunes</v>
      </c>
      <c r="D99" s="5">
        <v>4.0</v>
      </c>
      <c r="E99" s="6" t="s">
        <v>533</v>
      </c>
      <c r="F99" s="6" t="s">
        <v>783</v>
      </c>
      <c r="G99" s="6" t="s">
        <v>784</v>
      </c>
      <c r="H99" s="6" t="s">
        <v>785</v>
      </c>
      <c r="I99" s="6" t="s">
        <v>757</v>
      </c>
    </row>
    <row r="100" ht="15.0" customHeight="1">
      <c r="A100" s="1"/>
      <c r="B100" s="4">
        <v>46392.0</v>
      </c>
      <c r="C100" s="5" t="str">
        <f t="shared" si="1"/>
        <v>martes</v>
      </c>
      <c r="D100" s="5">
        <v>4.0</v>
      </c>
      <c r="E100" s="6" t="s">
        <v>539</v>
      </c>
      <c r="F100" s="6" t="s">
        <v>786</v>
      </c>
      <c r="G100" s="6" t="s">
        <v>787</v>
      </c>
      <c r="H100" s="6" t="s">
        <v>788</v>
      </c>
      <c r="I100" s="6" t="s">
        <v>757</v>
      </c>
    </row>
    <row r="101" ht="27.75" customHeight="1">
      <c r="A101" s="1"/>
      <c r="B101" s="4">
        <v>46393.0</v>
      </c>
      <c r="C101" s="5" t="str">
        <f t="shared" si="1"/>
        <v>miércoles</v>
      </c>
      <c r="D101" s="5">
        <v>4.0</v>
      </c>
      <c r="E101" s="6" t="s">
        <v>549</v>
      </c>
      <c r="F101" s="6" t="s">
        <v>789</v>
      </c>
      <c r="G101" s="6" t="s">
        <v>790</v>
      </c>
      <c r="H101" s="6" t="s">
        <v>791</v>
      </c>
      <c r="I101" s="6" t="s">
        <v>757</v>
      </c>
    </row>
    <row r="102" ht="27.75" customHeight="1">
      <c r="A102" s="1"/>
      <c r="B102" s="4">
        <v>46394.0</v>
      </c>
      <c r="C102" s="5" t="str">
        <f t="shared" si="1"/>
        <v>jueves</v>
      </c>
      <c r="D102" s="5">
        <v>4.0</v>
      </c>
      <c r="E102" s="6" t="s">
        <v>557</v>
      </c>
      <c r="F102" s="6" t="s">
        <v>794</v>
      </c>
      <c r="G102" s="6" t="s">
        <v>796</v>
      </c>
      <c r="H102" s="6" t="s">
        <v>791</v>
      </c>
      <c r="I102" s="6" t="s">
        <v>757</v>
      </c>
    </row>
    <row r="103" ht="27.75" customHeight="1">
      <c r="A103" s="1"/>
      <c r="B103" s="11">
        <v>46395.0</v>
      </c>
      <c r="C103" s="12" t="str">
        <f t="shared" si="1"/>
        <v>viernes</v>
      </c>
      <c r="D103" s="12">
        <v>4.0</v>
      </c>
      <c r="E103" s="13" t="s">
        <v>564</v>
      </c>
      <c r="F103" s="13" t="s">
        <v>797</v>
      </c>
      <c r="G103" s="13" t="s">
        <v>798</v>
      </c>
      <c r="H103" s="13" t="s">
        <v>398</v>
      </c>
      <c r="I103" s="13" t="s">
        <v>757</v>
      </c>
    </row>
    <row r="104" ht="15.0" customHeight="1">
      <c r="A104" s="1"/>
      <c r="B104" s="8">
        <v>46396.0</v>
      </c>
      <c r="C104" s="9" t="str">
        <f t="shared" si="1"/>
        <v>sábado</v>
      </c>
      <c r="D104" s="9">
        <v>0.0</v>
      </c>
      <c r="E104" s="10"/>
      <c r="F104" s="10"/>
      <c r="G104" s="10"/>
      <c r="H104" s="10"/>
      <c r="I104" s="10"/>
    </row>
    <row r="105" ht="15.0" customHeight="1">
      <c r="A105" s="1"/>
      <c r="B105" s="8">
        <v>46397.0</v>
      </c>
      <c r="C105" s="9" t="str">
        <f t="shared" si="1"/>
        <v>domingo</v>
      </c>
      <c r="D105" s="9">
        <v>0.0</v>
      </c>
      <c r="E105" s="10"/>
      <c r="F105" s="10"/>
      <c r="G105" s="10"/>
      <c r="H105" s="10"/>
      <c r="I105" s="10"/>
    </row>
    <row r="106" ht="27.75" customHeight="1">
      <c r="A106" s="1"/>
      <c r="B106" s="4">
        <v>46398.0</v>
      </c>
      <c r="C106" s="5" t="str">
        <f t="shared" si="1"/>
        <v>lunes</v>
      </c>
      <c r="D106" s="5">
        <v>4.0</v>
      </c>
      <c r="E106" s="6" t="s">
        <v>570</v>
      </c>
      <c r="F106" s="6" t="s">
        <v>799</v>
      </c>
      <c r="G106" s="6" t="s">
        <v>801</v>
      </c>
      <c r="H106" s="6" t="s">
        <v>802</v>
      </c>
      <c r="I106" s="6" t="s">
        <v>804</v>
      </c>
    </row>
    <row r="107" ht="15.0" customHeight="1">
      <c r="A107" s="1"/>
      <c r="B107" s="4">
        <v>46399.0</v>
      </c>
      <c r="C107" s="5" t="str">
        <f t="shared" si="1"/>
        <v>martes</v>
      </c>
      <c r="D107" s="5">
        <v>4.0</v>
      </c>
      <c r="E107" s="6" t="s">
        <v>579</v>
      </c>
      <c r="F107" s="6" t="s">
        <v>807</v>
      </c>
      <c r="G107" s="6" t="s">
        <v>808</v>
      </c>
      <c r="H107" s="6" t="s">
        <v>809</v>
      </c>
      <c r="I107" s="6" t="s">
        <v>804</v>
      </c>
    </row>
    <row r="108" ht="15.0" customHeight="1">
      <c r="A108" s="1"/>
      <c r="B108" s="4">
        <v>46400.0</v>
      </c>
      <c r="C108" s="5" t="str">
        <f t="shared" si="1"/>
        <v>miércoles</v>
      </c>
      <c r="D108" s="5">
        <v>4.0</v>
      </c>
      <c r="E108" s="6" t="s">
        <v>586</v>
      </c>
      <c r="F108" s="6" t="s">
        <v>813</v>
      </c>
      <c r="G108" s="6" t="s">
        <v>814</v>
      </c>
      <c r="H108" s="6" t="s">
        <v>815</v>
      </c>
      <c r="I108" s="6" t="s">
        <v>804</v>
      </c>
    </row>
    <row r="109" ht="15.0" customHeight="1">
      <c r="A109" s="1"/>
      <c r="B109" s="4">
        <v>46401.0</v>
      </c>
      <c r="C109" s="5" t="str">
        <f t="shared" si="1"/>
        <v>jueves</v>
      </c>
      <c r="D109" s="5">
        <v>4.0</v>
      </c>
      <c r="E109" s="6" t="s">
        <v>593</v>
      </c>
      <c r="F109" s="6" t="s">
        <v>816</v>
      </c>
      <c r="G109" s="6" t="s">
        <v>817</v>
      </c>
      <c r="H109" s="6" t="s">
        <v>818</v>
      </c>
      <c r="I109" s="6" t="s">
        <v>804</v>
      </c>
    </row>
    <row r="110" ht="15.0" customHeight="1">
      <c r="A110" s="1"/>
      <c r="B110" s="4">
        <v>46402.0</v>
      </c>
      <c r="C110" s="5" t="str">
        <f t="shared" si="1"/>
        <v>viernes</v>
      </c>
      <c r="D110" s="5">
        <v>4.0</v>
      </c>
      <c r="E110" s="6" t="s">
        <v>602</v>
      </c>
      <c r="F110" s="6" t="s">
        <v>822</v>
      </c>
      <c r="G110" s="6" t="s">
        <v>822</v>
      </c>
      <c r="H110" s="6" t="s">
        <v>823</v>
      </c>
      <c r="I110" s="6" t="s">
        <v>804</v>
      </c>
    </row>
    <row r="111" ht="15.0" customHeight="1">
      <c r="A111" s="1"/>
      <c r="B111" s="1"/>
      <c r="C111" s="15" t="s">
        <v>608</v>
      </c>
      <c r="D111" s="15">
        <f>SUM(D3:D110)</f>
        <v>292</v>
      </c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hyperlinks>
    <hyperlink r:id="rId1" ref="G1"/>
  </hyperlinks>
  <printOptions/>
  <pageMargins bottom="1.0" footer="0.0" header="0.0" left="0.75" right="0.75" top="1.0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.0"/>
    <col customWidth="1" min="2" max="2" width="10.0"/>
    <col customWidth="1" min="3" max="3" width="11.0"/>
    <col customWidth="1" min="4" max="4" width="12.0"/>
    <col customWidth="1" min="5" max="5" width="45.0"/>
    <col customWidth="1" min="6" max="6" width="80.0"/>
    <col customWidth="1" min="7" max="7" width="55.0"/>
    <col customWidth="1" min="8" max="26" width="8.71"/>
  </cols>
  <sheetData>
    <row r="1" ht="41.25" customHeight="1">
      <c r="A1" s="1"/>
      <c r="B1" s="2" t="s">
        <v>829</v>
      </c>
      <c r="C1" s="2" t="s">
        <v>830</v>
      </c>
      <c r="D1" s="2" t="s">
        <v>831</v>
      </c>
      <c r="E1" s="2" t="s">
        <v>832</v>
      </c>
      <c r="F1" s="2" t="s">
        <v>833</v>
      </c>
      <c r="G1" s="2" t="s">
        <v>834</v>
      </c>
    </row>
    <row r="2" ht="15.0" customHeight="1">
      <c r="A2" s="1"/>
      <c r="B2" s="5" t="s">
        <v>835</v>
      </c>
      <c r="C2" s="4">
        <v>46295.0</v>
      </c>
      <c r="D2" s="4">
        <v>46301.0</v>
      </c>
      <c r="E2" s="6" t="s">
        <v>836</v>
      </c>
      <c r="F2" s="6" t="s">
        <v>837</v>
      </c>
      <c r="G2" s="6" t="s">
        <v>838</v>
      </c>
    </row>
    <row r="3" ht="15.0" customHeight="1">
      <c r="A3" s="1"/>
      <c r="B3" s="5" t="s">
        <v>839</v>
      </c>
      <c r="C3" s="4">
        <v>46302.0</v>
      </c>
      <c r="D3" s="4">
        <v>46315.0</v>
      </c>
      <c r="E3" s="6" t="s">
        <v>840</v>
      </c>
      <c r="F3" s="6" t="s">
        <v>841</v>
      </c>
      <c r="G3" s="6" t="s">
        <v>842</v>
      </c>
    </row>
    <row r="4" ht="41.25" customHeight="1">
      <c r="A4" s="1"/>
      <c r="B4" s="5" t="s">
        <v>843</v>
      </c>
      <c r="C4" s="4">
        <v>46316.0</v>
      </c>
      <c r="D4" s="4">
        <v>46325.0</v>
      </c>
      <c r="E4" s="6" t="s">
        <v>844</v>
      </c>
      <c r="F4" s="6" t="s">
        <v>845</v>
      </c>
      <c r="G4" s="6" t="s">
        <v>846</v>
      </c>
    </row>
    <row r="5" ht="27.75" customHeight="1">
      <c r="A5" s="1"/>
      <c r="B5" s="5" t="s">
        <v>847</v>
      </c>
      <c r="C5" s="4">
        <v>46330.0</v>
      </c>
      <c r="D5" s="4">
        <v>46339.0</v>
      </c>
      <c r="E5" s="6" t="s">
        <v>848</v>
      </c>
      <c r="F5" s="6" t="s">
        <v>849</v>
      </c>
      <c r="G5" s="6" t="s">
        <v>850</v>
      </c>
    </row>
    <row r="6" ht="41.25" customHeight="1">
      <c r="A6" s="1"/>
      <c r="B6" s="5" t="s">
        <v>851</v>
      </c>
      <c r="C6" s="4">
        <v>46342.0</v>
      </c>
      <c r="D6" s="4">
        <v>46353.0</v>
      </c>
      <c r="E6" s="6" t="s">
        <v>852</v>
      </c>
      <c r="F6" s="6" t="s">
        <v>853</v>
      </c>
      <c r="G6" s="6" t="s">
        <v>854</v>
      </c>
    </row>
    <row r="7" ht="27.75" customHeight="1">
      <c r="A7" s="1"/>
      <c r="B7" s="5" t="s">
        <v>855</v>
      </c>
      <c r="C7" s="4">
        <v>46356.0</v>
      </c>
      <c r="D7" s="4">
        <v>46364.0</v>
      </c>
      <c r="E7" s="6" t="s">
        <v>856</v>
      </c>
      <c r="F7" s="6" t="s">
        <v>857</v>
      </c>
      <c r="G7" s="6" t="s">
        <v>858</v>
      </c>
    </row>
    <row r="8" ht="27.75" customHeight="1">
      <c r="A8" s="1"/>
      <c r="B8" s="5" t="s">
        <v>859</v>
      </c>
      <c r="C8" s="4">
        <v>46365.0</v>
      </c>
      <c r="D8" s="4">
        <v>46374.0</v>
      </c>
      <c r="E8" s="6" t="s">
        <v>860</v>
      </c>
      <c r="F8" s="6" t="s">
        <v>861</v>
      </c>
      <c r="G8" s="6" t="s">
        <v>862</v>
      </c>
    </row>
    <row r="9" ht="27.75" customHeight="1">
      <c r="A9" s="1"/>
      <c r="B9" s="5" t="s">
        <v>863</v>
      </c>
      <c r="C9" s="4">
        <v>46377.0</v>
      </c>
      <c r="D9" s="4">
        <v>46385.0</v>
      </c>
      <c r="E9" s="6" t="s">
        <v>864</v>
      </c>
      <c r="F9" s="6" t="s">
        <v>865</v>
      </c>
      <c r="G9" s="6" t="s">
        <v>866</v>
      </c>
    </row>
    <row r="10" ht="41.25" customHeight="1">
      <c r="A10" s="1"/>
      <c r="B10" s="5" t="s">
        <v>867</v>
      </c>
      <c r="C10" s="4">
        <v>46386.0</v>
      </c>
      <c r="D10" s="4">
        <v>46395.0</v>
      </c>
      <c r="E10" s="6" t="s">
        <v>868</v>
      </c>
      <c r="F10" s="6" t="s">
        <v>869</v>
      </c>
      <c r="G10" s="6" t="s">
        <v>870</v>
      </c>
    </row>
    <row r="11" ht="27.75" customHeight="1">
      <c r="A11" s="1"/>
      <c r="B11" s="5" t="s">
        <v>871</v>
      </c>
      <c r="C11" s="4">
        <v>46398.0</v>
      </c>
      <c r="D11" s="4">
        <v>46402.0</v>
      </c>
      <c r="E11" s="6" t="s">
        <v>872</v>
      </c>
      <c r="F11" s="6" t="s">
        <v>873</v>
      </c>
      <c r="G11" s="6" t="s">
        <v>874</v>
      </c>
    </row>
    <row r="12">
      <c r="A12" s="1"/>
      <c r="B12" s="1"/>
      <c r="C12" s="1"/>
      <c r="D12" s="1"/>
      <c r="E12" s="1"/>
      <c r="F12" s="1"/>
      <c r="G12" s="1"/>
    </row>
    <row r="13" ht="15.0" customHeight="1">
      <c r="A13" s="1"/>
      <c r="B13" s="15" t="s">
        <v>875</v>
      </c>
      <c r="C13" s="7" t="s">
        <v>876</v>
      </c>
      <c r="D13" s="1"/>
      <c r="E13" s="1"/>
      <c r="F13" s="1"/>
      <c r="G13" s="1"/>
    </row>
    <row r="14">
      <c r="A14" s="1"/>
      <c r="B14" s="1"/>
      <c r="C14" s="1"/>
      <c r="D14" s="1"/>
      <c r="E14" s="1"/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 ht="15.75" customHeight="1">
      <c r="A21" s="1"/>
      <c r="B21" s="1"/>
      <c r="C21" s="1"/>
      <c r="D21" s="1"/>
      <c r="E21" s="1"/>
      <c r="F21" s="1"/>
      <c r="G21" s="1"/>
    </row>
    <row r="22" ht="15.75" customHeight="1">
      <c r="A22" s="1"/>
      <c r="B22" s="1"/>
      <c r="C22" s="1"/>
      <c r="D22" s="1"/>
      <c r="E22" s="1"/>
      <c r="F22" s="1"/>
      <c r="G22" s="1"/>
    </row>
    <row r="23" ht="15.75" customHeight="1">
      <c r="A23" s="1"/>
      <c r="B23" s="1"/>
      <c r="C23" s="1"/>
      <c r="D23" s="1"/>
      <c r="E23" s="1"/>
      <c r="F23" s="1"/>
      <c r="G23" s="1"/>
    </row>
    <row r="24" ht="15.75" customHeight="1">
      <c r="A24" s="1"/>
      <c r="B24" s="1"/>
      <c r="C24" s="1"/>
      <c r="D24" s="1"/>
      <c r="E24" s="1"/>
      <c r="F24" s="1"/>
      <c r="G24" s="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hyperlinks>
    <hyperlink r:id="rId1" ref="C13"/>
  </hyperlinks>
  <printOptions/>
  <pageMargins bottom="1.0" footer="0.0" header="0.0" left="0.75" right="0.75" top="1.0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2026-10-21T21:42:35Z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